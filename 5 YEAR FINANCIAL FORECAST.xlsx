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kerhd/Documents/"/>
    </mc:Choice>
  </mc:AlternateContent>
  <xr:revisionPtr revIDLastSave="0" documentId="8_{28BFA438-F451-C241-AF9A-EDCCDE2F1759}" xr6:coauthVersionLast="47" xr6:coauthVersionMax="47" xr10:uidLastSave="{00000000-0000-0000-0000-000000000000}"/>
  <bookViews>
    <workbookView xWindow="0" yWindow="740" windowWidth="29400" windowHeight="18380" activeTab="3" xr2:uid="{00000000-000D-0000-FFFF-FFFF00000000}"/>
  </bookViews>
  <sheets>
    <sheet name="PERSONAL BUDGET 2022-2023" sheetId="17" state="hidden" r:id="rId1"/>
    <sheet name="PERSONAL BUDGET 2023-2024" sheetId="37" state="hidden" r:id="rId2"/>
    <sheet name="PERSONAL BUDGET 2024-2025" sheetId="38" state="hidden" r:id="rId3"/>
    <sheet name="PERSONAL BUDGET 2025-2026" sheetId="39" r:id="rId4"/>
    <sheet name="PERSONAL BUDGET 2026-2027" sheetId="45" r:id="rId5"/>
    <sheet name="PERSONAL BUDGET 2027-2028" sheetId="46" r:id="rId6"/>
    <sheet name="PERSONAL BUDGET 2028-2029" sheetId="47" r:id="rId7"/>
    <sheet name="PERSONAL BUDGET 2029-2030" sheetId="48" r:id="rId8"/>
    <sheet name="YEARLY TOTALS" sheetId="20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9" l="1"/>
  <c r="G84" i="39"/>
  <c r="G85" i="39" s="1"/>
  <c r="U61" i="39"/>
  <c r="U64" i="39"/>
  <c r="U65" i="39"/>
  <c r="U66" i="39"/>
  <c r="U51" i="39"/>
  <c r="O83" i="48"/>
  <c r="O83" i="47"/>
  <c r="O83" i="45"/>
  <c r="C7" i="39"/>
  <c r="M77" i="48"/>
  <c r="L77" i="48"/>
  <c r="K77" i="48"/>
  <c r="J77" i="48"/>
  <c r="I77" i="48"/>
  <c r="H77" i="48"/>
  <c r="G77" i="48"/>
  <c r="F77" i="48"/>
  <c r="E77" i="48"/>
  <c r="D77" i="48"/>
  <c r="C77" i="48"/>
  <c r="B77" i="48"/>
  <c r="O76" i="48"/>
  <c r="O75" i="48"/>
  <c r="O74" i="48"/>
  <c r="O73" i="48"/>
  <c r="M70" i="48"/>
  <c r="L70" i="48"/>
  <c r="K70" i="48"/>
  <c r="J70" i="48"/>
  <c r="I70" i="48"/>
  <c r="H70" i="48"/>
  <c r="G70" i="48"/>
  <c r="F70" i="48"/>
  <c r="E70" i="48"/>
  <c r="D70" i="48"/>
  <c r="C70" i="48"/>
  <c r="B70" i="48"/>
  <c r="O69" i="48"/>
  <c r="O70" i="48" s="1"/>
  <c r="F7" i="20" s="1"/>
  <c r="M66" i="48"/>
  <c r="L66" i="48"/>
  <c r="K66" i="48"/>
  <c r="J66" i="48"/>
  <c r="I66" i="48"/>
  <c r="H66" i="48"/>
  <c r="G66" i="48"/>
  <c r="F66" i="48"/>
  <c r="E66" i="48"/>
  <c r="D66" i="48"/>
  <c r="C66" i="48"/>
  <c r="B66" i="48"/>
  <c r="O65" i="48"/>
  <c r="F4" i="20" s="1"/>
  <c r="O64" i="48"/>
  <c r="F6" i="20" s="1"/>
  <c r="O63" i="48"/>
  <c r="F5" i="20" s="1"/>
  <c r="O61" i="48"/>
  <c r="M61" i="48"/>
  <c r="L61" i="48"/>
  <c r="K61" i="48"/>
  <c r="J61" i="48"/>
  <c r="I61" i="48"/>
  <c r="H61" i="48"/>
  <c r="G61" i="48"/>
  <c r="F61" i="48"/>
  <c r="E61" i="48"/>
  <c r="D61" i="48"/>
  <c r="C61" i="48"/>
  <c r="B61" i="48"/>
  <c r="O60" i="48"/>
  <c r="O59" i="48"/>
  <c r="O57" i="48"/>
  <c r="M57" i="48"/>
  <c r="L57" i="48"/>
  <c r="K57" i="48"/>
  <c r="J57" i="48"/>
  <c r="I57" i="48"/>
  <c r="H57" i="48"/>
  <c r="G57" i="48"/>
  <c r="F57" i="48"/>
  <c r="E57" i="48"/>
  <c r="D57" i="48"/>
  <c r="C57" i="48"/>
  <c r="B57" i="48"/>
  <c r="O56" i="48"/>
  <c r="O55" i="48"/>
  <c r="O54" i="48"/>
  <c r="M52" i="48"/>
  <c r="L52" i="48"/>
  <c r="K52" i="48"/>
  <c r="J52" i="48"/>
  <c r="I52" i="48"/>
  <c r="H52" i="48"/>
  <c r="G52" i="48"/>
  <c r="F52" i="48"/>
  <c r="E52" i="48"/>
  <c r="D52" i="48"/>
  <c r="C52" i="48"/>
  <c r="O52" i="48" s="1"/>
  <c r="B52" i="48"/>
  <c r="O51" i="48"/>
  <c r="O50" i="48"/>
  <c r="M48" i="48"/>
  <c r="L48" i="48"/>
  <c r="K48" i="48"/>
  <c r="J48" i="48"/>
  <c r="I48" i="48"/>
  <c r="H48" i="48"/>
  <c r="G48" i="48"/>
  <c r="F48" i="48"/>
  <c r="E48" i="48"/>
  <c r="D48" i="48"/>
  <c r="C48" i="48"/>
  <c r="B48" i="48"/>
  <c r="O46" i="48"/>
  <c r="O48" i="48" s="1"/>
  <c r="M44" i="48"/>
  <c r="L44" i="48"/>
  <c r="K44" i="48"/>
  <c r="J44" i="48"/>
  <c r="I44" i="48"/>
  <c r="H44" i="48"/>
  <c r="G44" i="48"/>
  <c r="F44" i="48"/>
  <c r="E44" i="48"/>
  <c r="D44" i="48"/>
  <c r="C44" i="48"/>
  <c r="B44" i="48"/>
  <c r="O43" i="48"/>
  <c r="O42" i="48"/>
  <c r="O41" i="48"/>
  <c r="O40" i="48"/>
  <c r="O39" i="48"/>
  <c r="O38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O35" i="48"/>
  <c r="O34" i="48"/>
  <c r="O33" i="48"/>
  <c r="O32" i="48"/>
  <c r="O31" i="48"/>
  <c r="O30" i="48"/>
  <c r="O29" i="48"/>
  <c r="O36" i="48" s="1"/>
  <c r="O28" i="48"/>
  <c r="O27" i="48"/>
  <c r="O26" i="48"/>
  <c r="M24" i="48"/>
  <c r="L24" i="48"/>
  <c r="K24" i="48"/>
  <c r="J24" i="48"/>
  <c r="I24" i="48"/>
  <c r="H24" i="48"/>
  <c r="G24" i="48"/>
  <c r="F24" i="48"/>
  <c r="E24" i="48"/>
  <c r="D24" i="48"/>
  <c r="C24" i="48"/>
  <c r="B24" i="48"/>
  <c r="O23" i="48"/>
  <c r="O22" i="48"/>
  <c r="O21" i="48"/>
  <c r="O19" i="48"/>
  <c r="O24" i="48" s="1"/>
  <c r="M17" i="48"/>
  <c r="L17" i="48"/>
  <c r="L71" i="48" s="1"/>
  <c r="L80" i="48" s="1"/>
  <c r="K17" i="48"/>
  <c r="J17" i="48"/>
  <c r="I17" i="48"/>
  <c r="H17" i="48"/>
  <c r="G17" i="48"/>
  <c r="F17" i="48"/>
  <c r="E17" i="48"/>
  <c r="D17" i="48"/>
  <c r="D71" i="48" s="1"/>
  <c r="D80" i="48" s="1"/>
  <c r="C17" i="48"/>
  <c r="B17" i="48"/>
  <c r="O16" i="48"/>
  <c r="O15" i="48"/>
  <c r="O14" i="48"/>
  <c r="O13" i="48"/>
  <c r="O12" i="48"/>
  <c r="O11" i="48"/>
  <c r="O10" i="48"/>
  <c r="O17" i="48" s="1"/>
  <c r="O9" i="48"/>
  <c r="M7" i="48"/>
  <c r="M71" i="48" s="1"/>
  <c r="M80" i="48" s="1"/>
  <c r="L7" i="48"/>
  <c r="K7" i="48"/>
  <c r="J7" i="48"/>
  <c r="I7" i="48"/>
  <c r="H7" i="48"/>
  <c r="G7" i="48"/>
  <c r="F7" i="48"/>
  <c r="E7" i="48"/>
  <c r="E71" i="48" s="1"/>
  <c r="E80" i="48" s="1"/>
  <c r="D7" i="48"/>
  <c r="C7" i="48"/>
  <c r="B7" i="48"/>
  <c r="O6" i="48"/>
  <c r="O5" i="48"/>
  <c r="O4" i="48"/>
  <c r="O7" i="48" s="1"/>
  <c r="E6" i="20"/>
  <c r="E5" i="20"/>
  <c r="M77" i="47"/>
  <c r="L77" i="47"/>
  <c r="K77" i="47"/>
  <c r="J77" i="47"/>
  <c r="I77" i="47"/>
  <c r="H77" i="47"/>
  <c r="G77" i="47"/>
  <c r="F77" i="47"/>
  <c r="E77" i="47"/>
  <c r="D77" i="47"/>
  <c r="C77" i="47"/>
  <c r="B77" i="47"/>
  <c r="O76" i="47"/>
  <c r="O75" i="47"/>
  <c r="O74" i="47"/>
  <c r="O73" i="47"/>
  <c r="O70" i="47"/>
  <c r="E7" i="20" s="1"/>
  <c r="M70" i="47"/>
  <c r="L70" i="47"/>
  <c r="K70" i="47"/>
  <c r="J70" i="47"/>
  <c r="I70" i="47"/>
  <c r="H70" i="47"/>
  <c r="G70" i="47"/>
  <c r="F70" i="47"/>
  <c r="E70" i="47"/>
  <c r="D70" i="47"/>
  <c r="C70" i="47"/>
  <c r="B70" i="47"/>
  <c r="O69" i="47"/>
  <c r="M66" i="47"/>
  <c r="L66" i="47"/>
  <c r="K66" i="47"/>
  <c r="J66" i="47"/>
  <c r="I66" i="47"/>
  <c r="H66" i="47"/>
  <c r="G66" i="47"/>
  <c r="F66" i="47"/>
  <c r="E66" i="47"/>
  <c r="D66" i="47"/>
  <c r="C66" i="47"/>
  <c r="B66" i="47"/>
  <c r="O65" i="47"/>
  <c r="E4" i="20" s="1"/>
  <c r="O64" i="47"/>
  <c r="O63" i="47"/>
  <c r="O66" i="47" s="1"/>
  <c r="O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O60" i="47"/>
  <c r="O59" i="47"/>
  <c r="O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O56" i="47"/>
  <c r="O55" i="47"/>
  <c r="O54" i="47"/>
  <c r="M52" i="47"/>
  <c r="L52" i="47"/>
  <c r="K52" i="47"/>
  <c r="J52" i="47"/>
  <c r="I52" i="47"/>
  <c r="H52" i="47"/>
  <c r="G52" i="47"/>
  <c r="F52" i="47"/>
  <c r="E52" i="47"/>
  <c r="D52" i="47"/>
  <c r="C52" i="47"/>
  <c r="O52" i="47" s="1"/>
  <c r="B52" i="47"/>
  <c r="O51" i="47"/>
  <c r="O50" i="47"/>
  <c r="M48" i="47"/>
  <c r="L48" i="47"/>
  <c r="K48" i="47"/>
  <c r="J48" i="47"/>
  <c r="I48" i="47"/>
  <c r="H48" i="47"/>
  <c r="G48" i="47"/>
  <c r="F48" i="47"/>
  <c r="E48" i="47"/>
  <c r="D48" i="47"/>
  <c r="C48" i="47"/>
  <c r="B48" i="47"/>
  <c r="O46" i="47"/>
  <c r="O48" i="47" s="1"/>
  <c r="M44" i="47"/>
  <c r="L44" i="47"/>
  <c r="K44" i="47"/>
  <c r="J44" i="47"/>
  <c r="I44" i="47"/>
  <c r="H44" i="47"/>
  <c r="G44" i="47"/>
  <c r="F44" i="47"/>
  <c r="E44" i="47"/>
  <c r="D44" i="47"/>
  <c r="C44" i="47"/>
  <c r="B44" i="47"/>
  <c r="O43" i="47"/>
  <c r="O42" i="47"/>
  <c r="O41" i="47"/>
  <c r="O40" i="47"/>
  <c r="O39" i="47"/>
  <c r="O38" i="47"/>
  <c r="M36" i="47"/>
  <c r="L36" i="47"/>
  <c r="K36" i="47"/>
  <c r="J36" i="47"/>
  <c r="I36" i="47"/>
  <c r="I71" i="47" s="1"/>
  <c r="H36" i="47"/>
  <c r="G36" i="47"/>
  <c r="F36" i="47"/>
  <c r="E36" i="47"/>
  <c r="D36" i="47"/>
  <c r="C36" i="47"/>
  <c r="B36" i="47"/>
  <c r="O35" i="47"/>
  <c r="O34" i="47"/>
  <c r="O33" i="47"/>
  <c r="O32" i="47"/>
  <c r="O31" i="47"/>
  <c r="O30" i="47"/>
  <c r="O29" i="47"/>
  <c r="O28" i="47"/>
  <c r="O27" i="47"/>
  <c r="O26" i="47"/>
  <c r="M24" i="47"/>
  <c r="L24" i="47"/>
  <c r="K24" i="47"/>
  <c r="J24" i="47"/>
  <c r="I24" i="47"/>
  <c r="H24" i="47"/>
  <c r="G24" i="47"/>
  <c r="F24" i="47"/>
  <c r="E24" i="47"/>
  <c r="D24" i="47"/>
  <c r="C24" i="47"/>
  <c r="B24" i="47"/>
  <c r="O23" i="47"/>
  <c r="O22" i="47"/>
  <c r="O21" i="47"/>
  <c r="O19" i="47"/>
  <c r="O24" i="47" s="1"/>
  <c r="M17" i="47"/>
  <c r="L17" i="47"/>
  <c r="K17" i="47"/>
  <c r="J17" i="47"/>
  <c r="I17" i="47"/>
  <c r="H17" i="47"/>
  <c r="G17" i="47"/>
  <c r="F17" i="47"/>
  <c r="E17" i="47"/>
  <c r="D17" i="47"/>
  <c r="C17" i="47"/>
  <c r="B17" i="47"/>
  <c r="O16" i="47"/>
  <c r="O15" i="47"/>
  <c r="O14" i="47"/>
  <c r="O13" i="47"/>
  <c r="O12" i="47"/>
  <c r="O11" i="47"/>
  <c r="O10" i="47"/>
  <c r="O17" i="47" s="1"/>
  <c r="O9" i="47"/>
  <c r="M7" i="47"/>
  <c r="L7" i="47"/>
  <c r="K7" i="47"/>
  <c r="J7" i="47"/>
  <c r="I7" i="47"/>
  <c r="H7" i="47"/>
  <c r="G7" i="47"/>
  <c r="F7" i="47"/>
  <c r="E7" i="47"/>
  <c r="D7" i="47"/>
  <c r="C7" i="47"/>
  <c r="B7" i="47"/>
  <c r="O6" i="47"/>
  <c r="O5" i="47"/>
  <c r="O4" i="47"/>
  <c r="O7" i="47" s="1"/>
  <c r="D6" i="20"/>
  <c r="D5" i="20"/>
  <c r="M77" i="46"/>
  <c r="L77" i="46"/>
  <c r="K77" i="46"/>
  <c r="J77" i="46"/>
  <c r="I77" i="46"/>
  <c r="H77" i="46"/>
  <c r="G77" i="46"/>
  <c r="F77" i="46"/>
  <c r="E77" i="46"/>
  <c r="D77" i="46"/>
  <c r="C77" i="46"/>
  <c r="B77" i="46"/>
  <c r="O76" i="46"/>
  <c r="O75" i="46"/>
  <c r="O74" i="46"/>
  <c r="O73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O69" i="46"/>
  <c r="O70" i="46" s="1"/>
  <c r="D7" i="20" s="1"/>
  <c r="M66" i="46"/>
  <c r="L66" i="46"/>
  <c r="K66" i="46"/>
  <c r="J66" i="46"/>
  <c r="I66" i="46"/>
  <c r="H66" i="46"/>
  <c r="G66" i="46"/>
  <c r="F66" i="46"/>
  <c r="E66" i="46"/>
  <c r="D66" i="46"/>
  <c r="C66" i="46"/>
  <c r="B66" i="46"/>
  <c r="O65" i="46"/>
  <c r="O64" i="46"/>
  <c r="O63" i="46"/>
  <c r="O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O60" i="46"/>
  <c r="O59" i="46"/>
  <c r="O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O56" i="46"/>
  <c r="O55" i="46"/>
  <c r="O54" i="46"/>
  <c r="M52" i="46"/>
  <c r="L52" i="46"/>
  <c r="K52" i="46"/>
  <c r="J52" i="46"/>
  <c r="I52" i="46"/>
  <c r="H52" i="46"/>
  <c r="G52" i="46"/>
  <c r="F52" i="46"/>
  <c r="E52" i="46"/>
  <c r="D52" i="46"/>
  <c r="C52" i="46"/>
  <c r="B52" i="46"/>
  <c r="O51" i="46"/>
  <c r="O50" i="46"/>
  <c r="M48" i="46"/>
  <c r="L48" i="46"/>
  <c r="K48" i="46"/>
  <c r="J48" i="46"/>
  <c r="I48" i="46"/>
  <c r="H48" i="46"/>
  <c r="G48" i="46"/>
  <c r="F48" i="46"/>
  <c r="E48" i="46"/>
  <c r="D48" i="46"/>
  <c r="C48" i="46"/>
  <c r="B48" i="46"/>
  <c r="O46" i="46"/>
  <c r="O48" i="46" s="1"/>
  <c r="M44" i="46"/>
  <c r="L44" i="46"/>
  <c r="K44" i="46"/>
  <c r="J44" i="46"/>
  <c r="I44" i="46"/>
  <c r="H44" i="46"/>
  <c r="G44" i="46"/>
  <c r="F44" i="46"/>
  <c r="E44" i="46"/>
  <c r="D44" i="46"/>
  <c r="C44" i="46"/>
  <c r="B44" i="46"/>
  <c r="O43" i="46"/>
  <c r="O42" i="46"/>
  <c r="O41" i="46"/>
  <c r="O40" i="46"/>
  <c r="O39" i="46"/>
  <c r="O38" i="46"/>
  <c r="O44" i="46" s="1"/>
  <c r="M36" i="46"/>
  <c r="L36" i="46"/>
  <c r="K36" i="46"/>
  <c r="J36" i="46"/>
  <c r="I36" i="46"/>
  <c r="H36" i="46"/>
  <c r="G36" i="46"/>
  <c r="F36" i="46"/>
  <c r="E36" i="46"/>
  <c r="D36" i="46"/>
  <c r="C36" i="46"/>
  <c r="B36" i="46"/>
  <c r="O35" i="46"/>
  <c r="O34" i="46"/>
  <c r="O33" i="46"/>
  <c r="O32" i="46"/>
  <c r="O31" i="46"/>
  <c r="O30" i="46"/>
  <c r="O29" i="46"/>
  <c r="O28" i="46"/>
  <c r="O36" i="46" s="1"/>
  <c r="O27" i="46"/>
  <c r="O26" i="46"/>
  <c r="M24" i="46"/>
  <c r="L24" i="46"/>
  <c r="K24" i="46"/>
  <c r="J24" i="46"/>
  <c r="I24" i="46"/>
  <c r="I71" i="46" s="1"/>
  <c r="H24" i="46"/>
  <c r="G24" i="46"/>
  <c r="F24" i="46"/>
  <c r="E24" i="46"/>
  <c r="D24" i="46"/>
  <c r="C24" i="46"/>
  <c r="B24" i="46"/>
  <c r="O23" i="46"/>
  <c r="O22" i="46"/>
  <c r="O21" i="46"/>
  <c r="O19" i="46"/>
  <c r="O24" i="46" s="1"/>
  <c r="M17" i="46"/>
  <c r="L17" i="46"/>
  <c r="K17" i="46"/>
  <c r="J17" i="46"/>
  <c r="I17" i="46"/>
  <c r="H17" i="46"/>
  <c r="G17" i="46"/>
  <c r="F17" i="46"/>
  <c r="E17" i="46"/>
  <c r="D17" i="46"/>
  <c r="C17" i="46"/>
  <c r="B17" i="46"/>
  <c r="O16" i="46"/>
  <c r="O15" i="46"/>
  <c r="O14" i="46"/>
  <c r="O13" i="46"/>
  <c r="O12" i="46"/>
  <c r="O11" i="46"/>
  <c r="O10" i="46"/>
  <c r="O9" i="46"/>
  <c r="O17" i="46" s="1"/>
  <c r="M7" i="46"/>
  <c r="M71" i="46" s="1"/>
  <c r="M80" i="46" s="1"/>
  <c r="L7" i="46"/>
  <c r="K7" i="46"/>
  <c r="J7" i="46"/>
  <c r="I7" i="46"/>
  <c r="H7" i="46"/>
  <c r="G7" i="46"/>
  <c r="G71" i="46" s="1"/>
  <c r="F7" i="46"/>
  <c r="F71" i="46" s="1"/>
  <c r="F80" i="46" s="1"/>
  <c r="E7" i="46"/>
  <c r="E71" i="46" s="1"/>
  <c r="E80" i="46" s="1"/>
  <c r="D7" i="46"/>
  <c r="C7" i="46"/>
  <c r="B7" i="46"/>
  <c r="O6" i="46"/>
  <c r="O5" i="46"/>
  <c r="O4" i="46"/>
  <c r="O7" i="46" s="1"/>
  <c r="C7" i="20"/>
  <c r="C6" i="20"/>
  <c r="C5" i="20"/>
  <c r="C4" i="20"/>
  <c r="U6" i="39"/>
  <c r="U70" i="39"/>
  <c r="U71" i="39"/>
  <c r="B4" i="20" s="1"/>
  <c r="M77" i="45"/>
  <c r="L77" i="45"/>
  <c r="K77" i="45"/>
  <c r="J77" i="45"/>
  <c r="I77" i="45"/>
  <c r="H77" i="45"/>
  <c r="G77" i="45"/>
  <c r="F77" i="45"/>
  <c r="E77" i="45"/>
  <c r="D77" i="45"/>
  <c r="C77" i="45"/>
  <c r="B77" i="45"/>
  <c r="O76" i="45"/>
  <c r="O75" i="45"/>
  <c r="O74" i="45"/>
  <c r="O73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O69" i="45"/>
  <c r="O70" i="45" s="1"/>
  <c r="M66" i="45"/>
  <c r="L66" i="45"/>
  <c r="K66" i="45"/>
  <c r="J66" i="45"/>
  <c r="I66" i="45"/>
  <c r="I71" i="45" s="1"/>
  <c r="H66" i="45"/>
  <c r="G66" i="45"/>
  <c r="F66" i="45"/>
  <c r="E66" i="45"/>
  <c r="D66" i="45"/>
  <c r="C66" i="45"/>
  <c r="B66" i="45"/>
  <c r="O65" i="45"/>
  <c r="O64" i="45"/>
  <c r="O63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O60" i="45"/>
  <c r="O59" i="45"/>
  <c r="O61" i="45" s="1"/>
  <c r="O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O56" i="45"/>
  <c r="O55" i="45"/>
  <c r="O54" i="45"/>
  <c r="M52" i="45"/>
  <c r="L52" i="45"/>
  <c r="K52" i="45"/>
  <c r="J52" i="45"/>
  <c r="I52" i="45"/>
  <c r="H52" i="45"/>
  <c r="G52" i="45"/>
  <c r="F52" i="45"/>
  <c r="E52" i="45"/>
  <c r="D52" i="45"/>
  <c r="C52" i="45"/>
  <c r="B52" i="45"/>
  <c r="O51" i="45"/>
  <c r="O50" i="45"/>
  <c r="M48" i="45"/>
  <c r="L48" i="45"/>
  <c r="K48" i="45"/>
  <c r="J48" i="45"/>
  <c r="I48" i="45"/>
  <c r="H48" i="45"/>
  <c r="G48" i="45"/>
  <c r="F48" i="45"/>
  <c r="E48" i="45"/>
  <c r="D48" i="45"/>
  <c r="C48" i="45"/>
  <c r="B48" i="45"/>
  <c r="O46" i="45"/>
  <c r="O48" i="45" s="1"/>
  <c r="M44" i="45"/>
  <c r="L44" i="45"/>
  <c r="K44" i="45"/>
  <c r="J44" i="45"/>
  <c r="I44" i="45"/>
  <c r="H44" i="45"/>
  <c r="G44" i="45"/>
  <c r="F44" i="45"/>
  <c r="E44" i="45"/>
  <c r="D44" i="45"/>
  <c r="C44" i="45"/>
  <c r="B44" i="45"/>
  <c r="O43" i="45"/>
  <c r="O42" i="45"/>
  <c r="O41" i="45"/>
  <c r="O40" i="45"/>
  <c r="O39" i="45"/>
  <c r="O38" i="45"/>
  <c r="O44" i="45" s="1"/>
  <c r="M36" i="45"/>
  <c r="L36" i="45"/>
  <c r="K36" i="45"/>
  <c r="J36" i="45"/>
  <c r="I36" i="45"/>
  <c r="H36" i="45"/>
  <c r="G36" i="45"/>
  <c r="F36" i="45"/>
  <c r="E36" i="45"/>
  <c r="D36" i="45"/>
  <c r="C36" i="45"/>
  <c r="B36" i="45"/>
  <c r="O35" i="45"/>
  <c r="O34" i="45"/>
  <c r="O33" i="45"/>
  <c r="O32" i="45"/>
  <c r="O31" i="45"/>
  <c r="O30" i="45"/>
  <c r="O29" i="45"/>
  <c r="O28" i="45"/>
  <c r="O27" i="45"/>
  <c r="O26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O23" i="45"/>
  <c r="O22" i="45"/>
  <c r="O21" i="45"/>
  <c r="O19" i="45"/>
  <c r="M17" i="45"/>
  <c r="L17" i="45"/>
  <c r="K17" i="45"/>
  <c r="J17" i="45"/>
  <c r="I17" i="45"/>
  <c r="H17" i="45"/>
  <c r="G17" i="45"/>
  <c r="F17" i="45"/>
  <c r="E17" i="45"/>
  <c r="D17" i="45"/>
  <c r="C17" i="45"/>
  <c r="B17" i="45"/>
  <c r="O16" i="45"/>
  <c r="O15" i="45"/>
  <c r="O14" i="45"/>
  <c r="O13" i="45"/>
  <c r="O12" i="45"/>
  <c r="O11" i="45"/>
  <c r="O10" i="45"/>
  <c r="O9" i="45"/>
  <c r="M7" i="45"/>
  <c r="L7" i="45"/>
  <c r="K7" i="45"/>
  <c r="J7" i="45"/>
  <c r="I7" i="45"/>
  <c r="H7" i="45"/>
  <c r="G7" i="45"/>
  <c r="F7" i="45"/>
  <c r="E7" i="45"/>
  <c r="D7" i="45"/>
  <c r="D71" i="45" s="1"/>
  <c r="C7" i="45"/>
  <c r="B7" i="45"/>
  <c r="O6" i="45"/>
  <c r="O5" i="45"/>
  <c r="O4" i="45"/>
  <c r="O7" i="45" s="1"/>
  <c r="U32" i="39"/>
  <c r="U31" i="39"/>
  <c r="C67" i="39"/>
  <c r="D67" i="39"/>
  <c r="E67" i="39"/>
  <c r="F67" i="39"/>
  <c r="G67" i="39"/>
  <c r="I67" i="39"/>
  <c r="K67" i="39"/>
  <c r="M67" i="39"/>
  <c r="O67" i="39"/>
  <c r="Q67" i="39"/>
  <c r="S67" i="39"/>
  <c r="B67" i="39"/>
  <c r="U60" i="39"/>
  <c r="C58" i="39"/>
  <c r="U57" i="39" s="1"/>
  <c r="D58" i="39"/>
  <c r="E58" i="39"/>
  <c r="F58" i="39"/>
  <c r="G58" i="39"/>
  <c r="I58" i="39"/>
  <c r="K58" i="39"/>
  <c r="M58" i="39"/>
  <c r="O58" i="39"/>
  <c r="Q58" i="39"/>
  <c r="S58" i="39"/>
  <c r="B58" i="39"/>
  <c r="U80" i="39"/>
  <c r="U82" i="39"/>
  <c r="U83" i="39"/>
  <c r="U56" i="39"/>
  <c r="U40" i="39"/>
  <c r="U41" i="39"/>
  <c r="U42" i="39"/>
  <c r="U43" i="39"/>
  <c r="U28" i="39"/>
  <c r="U29" i="39"/>
  <c r="U30" i="39"/>
  <c r="U33" i="39"/>
  <c r="U34" i="39"/>
  <c r="U35" i="39"/>
  <c r="U36" i="39"/>
  <c r="U22" i="39"/>
  <c r="U23" i="39"/>
  <c r="U24" i="39"/>
  <c r="U11" i="39"/>
  <c r="U12" i="39"/>
  <c r="U13" i="39"/>
  <c r="U14" i="39"/>
  <c r="U15" i="39"/>
  <c r="U16" i="39"/>
  <c r="U17" i="39"/>
  <c r="C53" i="39"/>
  <c r="C44" i="39"/>
  <c r="C37" i="39"/>
  <c r="C25" i="39"/>
  <c r="C18" i="39"/>
  <c r="S72" i="39"/>
  <c r="Q72" i="39"/>
  <c r="O72" i="39"/>
  <c r="S76" i="39"/>
  <c r="Q76" i="39"/>
  <c r="O76" i="39"/>
  <c r="C76" i="39"/>
  <c r="D76" i="39"/>
  <c r="E76" i="39"/>
  <c r="F76" i="39"/>
  <c r="G76" i="39"/>
  <c r="I76" i="39"/>
  <c r="K76" i="39"/>
  <c r="M76" i="39"/>
  <c r="B76" i="39"/>
  <c r="C72" i="39"/>
  <c r="D72" i="39"/>
  <c r="E72" i="39"/>
  <c r="F72" i="39"/>
  <c r="G72" i="39"/>
  <c r="I72" i="39"/>
  <c r="K72" i="39"/>
  <c r="M72" i="39"/>
  <c r="B72" i="39"/>
  <c r="S53" i="39"/>
  <c r="Q53" i="39"/>
  <c r="O48" i="39"/>
  <c r="O53" i="39"/>
  <c r="D53" i="39"/>
  <c r="E53" i="39"/>
  <c r="F53" i="39"/>
  <c r="G53" i="39"/>
  <c r="I53" i="39"/>
  <c r="K53" i="39"/>
  <c r="M53" i="39"/>
  <c r="B53" i="39"/>
  <c r="Q48" i="39"/>
  <c r="S48" i="39"/>
  <c r="C48" i="39"/>
  <c r="D48" i="39"/>
  <c r="E48" i="39"/>
  <c r="F48" i="39"/>
  <c r="G48" i="39"/>
  <c r="I48" i="39"/>
  <c r="K48" i="39"/>
  <c r="M48" i="39"/>
  <c r="B48" i="39"/>
  <c r="O18" i="39"/>
  <c r="Q18" i="39"/>
  <c r="S18" i="39"/>
  <c r="D18" i="39"/>
  <c r="E18" i="39"/>
  <c r="F18" i="39"/>
  <c r="G18" i="39"/>
  <c r="I18" i="39"/>
  <c r="K18" i="39"/>
  <c r="M18" i="39"/>
  <c r="B18" i="39"/>
  <c r="S25" i="39"/>
  <c r="Q25" i="39"/>
  <c r="O25" i="39"/>
  <c r="D25" i="39"/>
  <c r="E25" i="39"/>
  <c r="F25" i="39"/>
  <c r="G25" i="39"/>
  <c r="I25" i="39"/>
  <c r="K25" i="39"/>
  <c r="M25" i="39"/>
  <c r="B25" i="39"/>
  <c r="O12" i="38"/>
  <c r="H71" i="46" l="1"/>
  <c r="H80" i="46" s="1"/>
  <c r="O52" i="46"/>
  <c r="O66" i="46"/>
  <c r="O83" i="46" s="1"/>
  <c r="D4" i="20"/>
  <c r="D10" i="20" s="1"/>
  <c r="U7" i="39"/>
  <c r="K71" i="48"/>
  <c r="K80" i="48" s="1"/>
  <c r="I71" i="48"/>
  <c r="F10" i="20"/>
  <c r="G80" i="46"/>
  <c r="F71" i="48"/>
  <c r="F80" i="48" s="1"/>
  <c r="G71" i="48"/>
  <c r="G80" i="48" s="1"/>
  <c r="B71" i="48"/>
  <c r="B80" i="48" s="1"/>
  <c r="O44" i="48"/>
  <c r="I80" i="48"/>
  <c r="J71" i="48"/>
  <c r="C71" i="48"/>
  <c r="C80" i="48" s="1"/>
  <c r="H71" i="48"/>
  <c r="M71" i="47"/>
  <c r="M80" i="47" s="1"/>
  <c r="O44" i="47"/>
  <c r="E71" i="47"/>
  <c r="E80" i="47" s="1"/>
  <c r="F71" i="47"/>
  <c r="F80" i="47" s="1"/>
  <c r="G71" i="47"/>
  <c r="G80" i="47" s="1"/>
  <c r="O36" i="47"/>
  <c r="L71" i="47"/>
  <c r="L80" i="47" s="1"/>
  <c r="K71" i="47"/>
  <c r="K80" i="47" s="1"/>
  <c r="J71" i="47"/>
  <c r="J80" i="47" s="1"/>
  <c r="C71" i="47"/>
  <c r="C80" i="47" s="1"/>
  <c r="H71" i="47"/>
  <c r="H80" i="47" s="1"/>
  <c r="D71" i="47"/>
  <c r="D80" i="47" s="1"/>
  <c r="I80" i="47"/>
  <c r="B71" i="47"/>
  <c r="B80" i="47" s="1"/>
  <c r="L71" i="46"/>
  <c r="L80" i="46" s="1"/>
  <c r="K71" i="46"/>
  <c r="K80" i="46" s="1"/>
  <c r="D71" i="46"/>
  <c r="D80" i="46" s="1"/>
  <c r="C71" i="46"/>
  <c r="C80" i="46" s="1"/>
  <c r="J71" i="46"/>
  <c r="J80" i="46" s="1"/>
  <c r="B71" i="46"/>
  <c r="B80" i="46" s="1"/>
  <c r="M71" i="45"/>
  <c r="M80" i="45" s="1"/>
  <c r="K71" i="45"/>
  <c r="K80" i="45" s="1"/>
  <c r="C71" i="45"/>
  <c r="J71" i="45"/>
  <c r="B71" i="45"/>
  <c r="B80" i="45" s="1"/>
  <c r="O66" i="48"/>
  <c r="O77" i="48"/>
  <c r="J80" i="48"/>
  <c r="O77" i="47"/>
  <c r="C10" i="20"/>
  <c r="O77" i="46"/>
  <c r="I80" i="46"/>
  <c r="U67" i="39"/>
  <c r="L71" i="45"/>
  <c r="L80" i="45" s="1"/>
  <c r="H71" i="45"/>
  <c r="H80" i="45" s="1"/>
  <c r="E71" i="45"/>
  <c r="F71" i="45"/>
  <c r="F80" i="45" s="1"/>
  <c r="G71" i="45"/>
  <c r="G80" i="45" s="1"/>
  <c r="O24" i="45"/>
  <c r="O52" i="45"/>
  <c r="O77" i="45"/>
  <c r="O66" i="45"/>
  <c r="J80" i="45"/>
  <c r="C80" i="45"/>
  <c r="D80" i="45"/>
  <c r="E80" i="45"/>
  <c r="O36" i="45"/>
  <c r="O17" i="45"/>
  <c r="I80" i="45"/>
  <c r="O11" i="38"/>
  <c r="O13" i="38"/>
  <c r="U46" i="39"/>
  <c r="U48" i="39" s="1"/>
  <c r="U50" i="39"/>
  <c r="U52" i="39"/>
  <c r="U55" i="39"/>
  <c r="U58" i="39" s="1"/>
  <c r="O47" i="38"/>
  <c r="O48" i="38"/>
  <c r="M50" i="38"/>
  <c r="L50" i="38"/>
  <c r="K50" i="38"/>
  <c r="O10" i="38"/>
  <c r="H50" i="38"/>
  <c r="I50" i="38"/>
  <c r="J50" i="38"/>
  <c r="G50" i="38"/>
  <c r="U27" i="39"/>
  <c r="U37" i="39" s="1"/>
  <c r="B37" i="39"/>
  <c r="D37" i="39"/>
  <c r="E37" i="39"/>
  <c r="F37" i="39"/>
  <c r="G37" i="39"/>
  <c r="I37" i="39"/>
  <c r="K37" i="39"/>
  <c r="M37" i="39"/>
  <c r="O37" i="39"/>
  <c r="Q37" i="39"/>
  <c r="S37" i="39"/>
  <c r="U39" i="39"/>
  <c r="U44" i="39" s="1"/>
  <c r="G6" i="38"/>
  <c r="O62" i="37"/>
  <c r="M41" i="37"/>
  <c r="O71" i="46" l="1"/>
  <c r="O71" i="48"/>
  <c r="H80" i="48"/>
  <c r="O71" i="47"/>
  <c r="O84" i="48"/>
  <c r="O80" i="48"/>
  <c r="E10" i="20"/>
  <c r="O84" i="47"/>
  <c r="O80" i="47"/>
  <c r="O84" i="46"/>
  <c r="O80" i="46"/>
  <c r="O71" i="45"/>
  <c r="O84" i="45"/>
  <c r="O80" i="45"/>
  <c r="U53" i="39"/>
  <c r="E37" i="37"/>
  <c r="O37" i="37" s="1"/>
  <c r="K44" i="37"/>
  <c r="L44" i="37"/>
  <c r="M44" i="37"/>
  <c r="F44" i="37"/>
  <c r="G44" i="37"/>
  <c r="H44" i="37"/>
  <c r="I44" i="37"/>
  <c r="J44" i="37"/>
  <c r="E44" i="37"/>
  <c r="F41" i="37"/>
  <c r="G41" i="37"/>
  <c r="H41" i="37"/>
  <c r="I41" i="37"/>
  <c r="J41" i="37"/>
  <c r="K41" i="37"/>
  <c r="L41" i="37"/>
  <c r="E41" i="37"/>
  <c r="B64" i="37"/>
  <c r="O20" i="37"/>
  <c r="O51" i="37"/>
  <c r="O54" i="17"/>
  <c r="O57" i="17"/>
  <c r="G11" i="20"/>
  <c r="K21" i="17"/>
  <c r="O37" i="17"/>
  <c r="C14" i="38"/>
  <c r="D14" i="38"/>
  <c r="E14" i="38"/>
  <c r="F14" i="38"/>
  <c r="G14" i="38"/>
  <c r="H14" i="38"/>
  <c r="I14" i="38"/>
  <c r="J14" i="38"/>
  <c r="L14" i="38"/>
  <c r="M14" i="38"/>
  <c r="B14" i="38"/>
  <c r="C22" i="38"/>
  <c r="D22" i="38"/>
  <c r="E22" i="38"/>
  <c r="F22" i="38"/>
  <c r="G22" i="38"/>
  <c r="H22" i="38"/>
  <c r="I22" i="38"/>
  <c r="J22" i="38"/>
  <c r="L22" i="38"/>
  <c r="M22" i="38"/>
  <c r="B22" i="38"/>
  <c r="O7" i="37"/>
  <c r="O8" i="37"/>
  <c r="O9" i="37"/>
  <c r="O10" i="37"/>
  <c r="O12" i="37"/>
  <c r="O13" i="37"/>
  <c r="O14" i="37"/>
  <c r="O15" i="37"/>
  <c r="O16" i="37"/>
  <c r="O17" i="37"/>
  <c r="O19" i="37"/>
  <c r="O21" i="37"/>
  <c r="O23" i="37"/>
  <c r="O24" i="37"/>
  <c r="O25" i="37"/>
  <c r="O26" i="37"/>
  <c r="O27" i="37"/>
  <c r="O29" i="37"/>
  <c r="O30" i="37"/>
  <c r="O31" i="37"/>
  <c r="O32" i="37"/>
  <c r="O33" i="37"/>
  <c r="B18" i="37"/>
  <c r="C18" i="37"/>
  <c r="D18" i="37"/>
  <c r="E18" i="37"/>
  <c r="F18" i="37"/>
  <c r="G18" i="37"/>
  <c r="B11" i="37"/>
  <c r="C11" i="37"/>
  <c r="D11" i="37"/>
  <c r="E11" i="37"/>
  <c r="F11" i="37"/>
  <c r="G11" i="37"/>
  <c r="I11" i="37"/>
  <c r="J11" i="37"/>
  <c r="K11" i="37"/>
  <c r="L11" i="37"/>
  <c r="M11" i="37"/>
  <c r="I18" i="37"/>
  <c r="J18" i="37"/>
  <c r="K18" i="37"/>
  <c r="L18" i="37"/>
  <c r="M18" i="37"/>
  <c r="H11" i="37"/>
  <c r="H18" i="37"/>
  <c r="B36" i="17"/>
  <c r="C36" i="17"/>
  <c r="D36" i="17"/>
  <c r="E36" i="17"/>
  <c r="F36" i="17"/>
  <c r="G36" i="17"/>
  <c r="H36" i="17"/>
  <c r="B31" i="17"/>
  <c r="C31" i="17"/>
  <c r="D31" i="17"/>
  <c r="E31" i="17"/>
  <c r="F31" i="17"/>
  <c r="G31" i="17"/>
  <c r="H31" i="17"/>
  <c r="B12" i="17"/>
  <c r="B21" i="17" s="1"/>
  <c r="C12" i="17"/>
  <c r="C21" i="17" s="1"/>
  <c r="D12" i="17"/>
  <c r="E12" i="17"/>
  <c r="F12" i="17"/>
  <c r="F21" i="17" s="1"/>
  <c r="G12" i="17"/>
  <c r="G21" i="17" s="1"/>
  <c r="H12" i="17"/>
  <c r="H21" i="17" s="1"/>
  <c r="O16" i="17"/>
  <c r="O17" i="17"/>
  <c r="O18" i="17"/>
  <c r="O19" i="17"/>
  <c r="O20" i="17"/>
  <c r="J21" i="17"/>
  <c r="L21" i="17"/>
  <c r="M21" i="17"/>
  <c r="J12" i="17"/>
  <c r="K12" i="17"/>
  <c r="L12" i="17"/>
  <c r="M12" i="17"/>
  <c r="I21" i="17"/>
  <c r="I12" i="17"/>
  <c r="I64" i="37"/>
  <c r="J64" i="37"/>
  <c r="K64" i="37"/>
  <c r="L64" i="37"/>
  <c r="H64" i="37"/>
  <c r="C64" i="37"/>
  <c r="D64" i="37"/>
  <c r="E64" i="37"/>
  <c r="F64" i="37"/>
  <c r="I28" i="37"/>
  <c r="J28" i="37"/>
  <c r="K28" i="37"/>
  <c r="L28" i="37"/>
  <c r="M28" i="37"/>
  <c r="H28" i="37"/>
  <c r="C28" i="37"/>
  <c r="D28" i="37"/>
  <c r="E28" i="37"/>
  <c r="F28" i="37"/>
  <c r="B28" i="37"/>
  <c r="I31" i="17"/>
  <c r="I38" i="17"/>
  <c r="I58" i="17"/>
  <c r="I51" i="17"/>
  <c r="I6" i="17"/>
  <c r="I36" i="17"/>
  <c r="J31" i="17"/>
  <c r="J38" i="17"/>
  <c r="J58" i="17"/>
  <c r="J51" i="17"/>
  <c r="J6" i="17"/>
  <c r="J36" i="17"/>
  <c r="K38" i="17"/>
  <c r="K58" i="17"/>
  <c r="K6" i="17"/>
  <c r="K31" i="17"/>
  <c r="K36" i="17"/>
  <c r="K51" i="17"/>
  <c r="K67" i="17"/>
  <c r="L38" i="17"/>
  <c r="L58" i="17"/>
  <c r="L6" i="17"/>
  <c r="L31" i="17"/>
  <c r="L36" i="17"/>
  <c r="L51" i="17"/>
  <c r="M58" i="17"/>
  <c r="M38" i="17"/>
  <c r="M6" i="17"/>
  <c r="M31" i="17"/>
  <c r="M36" i="17"/>
  <c r="M51" i="17"/>
  <c r="H58" i="17"/>
  <c r="H6" i="17"/>
  <c r="H38" i="17"/>
  <c r="H51" i="17"/>
  <c r="H67" i="17"/>
  <c r="G58" i="17"/>
  <c r="F58" i="17"/>
  <c r="F6" i="17"/>
  <c r="F51" i="17"/>
  <c r="F38" i="17"/>
  <c r="O53" i="17"/>
  <c r="O55" i="17"/>
  <c r="O56" i="17"/>
  <c r="I66" i="38"/>
  <c r="J66" i="38"/>
  <c r="K66" i="38"/>
  <c r="L66" i="38"/>
  <c r="M66" i="38"/>
  <c r="H66" i="38"/>
  <c r="C66" i="38"/>
  <c r="D66" i="38"/>
  <c r="E66" i="38"/>
  <c r="F66" i="38"/>
  <c r="B66" i="38"/>
  <c r="E58" i="17"/>
  <c r="D51" i="17"/>
  <c r="D21" i="17"/>
  <c r="D6" i="17"/>
  <c r="D38" i="17"/>
  <c r="D58" i="17"/>
  <c r="B6" i="20"/>
  <c r="O62" i="38"/>
  <c r="O63" i="38"/>
  <c r="O61" i="37"/>
  <c r="O60" i="37"/>
  <c r="U75" i="39"/>
  <c r="O65" i="38"/>
  <c r="O63" i="37"/>
  <c r="B6" i="17"/>
  <c r="B38" i="17"/>
  <c r="B51" i="17"/>
  <c r="B58" i="17"/>
  <c r="B67" i="17"/>
  <c r="C6" i="17"/>
  <c r="C38" i="17"/>
  <c r="C51" i="17"/>
  <c r="C58" i="17"/>
  <c r="C67" i="17"/>
  <c r="D67" i="17"/>
  <c r="E21" i="17"/>
  <c r="E6" i="17"/>
  <c r="E38" i="17"/>
  <c r="E51" i="17"/>
  <c r="E67" i="17"/>
  <c r="F67" i="17"/>
  <c r="G6" i="17"/>
  <c r="G38" i="17"/>
  <c r="G51" i="17"/>
  <c r="G67" i="17"/>
  <c r="B6" i="37"/>
  <c r="B44" i="37"/>
  <c r="B46" i="37"/>
  <c r="B57" i="37"/>
  <c r="C75" i="37"/>
  <c r="C6" i="37"/>
  <c r="C44" i="37"/>
  <c r="C46" i="37"/>
  <c r="C57" i="37"/>
  <c r="D75" i="37"/>
  <c r="D6" i="37"/>
  <c r="D44" i="37"/>
  <c r="D46" i="37"/>
  <c r="D57" i="37"/>
  <c r="E6" i="37"/>
  <c r="E46" i="37"/>
  <c r="E57" i="37"/>
  <c r="F75" i="37"/>
  <c r="F6" i="37"/>
  <c r="F46" i="37"/>
  <c r="F57" i="37"/>
  <c r="G46" i="37"/>
  <c r="G57" i="37"/>
  <c r="H75" i="37"/>
  <c r="H6" i="37"/>
  <c r="H46" i="37"/>
  <c r="H57" i="37"/>
  <c r="I75" i="37"/>
  <c r="I6" i="37"/>
  <c r="I46" i="37"/>
  <c r="I57" i="37"/>
  <c r="J75" i="37"/>
  <c r="J6" i="37"/>
  <c r="J46" i="37"/>
  <c r="J57" i="37"/>
  <c r="K75" i="37"/>
  <c r="K6" i="37"/>
  <c r="K46" i="37"/>
  <c r="L6" i="37"/>
  <c r="L46" i="37"/>
  <c r="L57" i="37"/>
  <c r="M75" i="37"/>
  <c r="M6" i="37"/>
  <c r="M46" i="37"/>
  <c r="M57" i="37"/>
  <c r="D6" i="38"/>
  <c r="D38" i="38"/>
  <c r="D46" i="38"/>
  <c r="D50" i="38"/>
  <c r="D59" i="38"/>
  <c r="D75" i="38"/>
  <c r="E75" i="38"/>
  <c r="E6" i="38"/>
  <c r="E38" i="38"/>
  <c r="E46" i="38"/>
  <c r="E50" i="38"/>
  <c r="E59" i="38"/>
  <c r="F6" i="38"/>
  <c r="F38" i="38"/>
  <c r="F46" i="38"/>
  <c r="F50" i="38"/>
  <c r="F59" i="38"/>
  <c r="G38" i="38"/>
  <c r="G46" i="38"/>
  <c r="G59" i="38"/>
  <c r="G66" i="38"/>
  <c r="H75" i="38"/>
  <c r="H6" i="38"/>
  <c r="H38" i="38"/>
  <c r="H46" i="38"/>
  <c r="H59" i="38"/>
  <c r="I75" i="38"/>
  <c r="I6" i="38"/>
  <c r="I38" i="38"/>
  <c r="I46" i="38"/>
  <c r="I59" i="38"/>
  <c r="J75" i="38"/>
  <c r="J6" i="38"/>
  <c r="J38" i="38"/>
  <c r="J46" i="38"/>
  <c r="J59" i="38"/>
  <c r="K38" i="38"/>
  <c r="K46" i="38"/>
  <c r="K75" i="38"/>
  <c r="L6" i="38"/>
  <c r="L38" i="38"/>
  <c r="L46" i="38"/>
  <c r="L59" i="38"/>
  <c r="L75" i="38"/>
  <c r="M6" i="38"/>
  <c r="M38" i="38"/>
  <c r="M46" i="38"/>
  <c r="M59" i="38"/>
  <c r="M75" i="38"/>
  <c r="B75" i="38"/>
  <c r="B6" i="38"/>
  <c r="B38" i="38"/>
  <c r="B46" i="38"/>
  <c r="B50" i="38"/>
  <c r="B59" i="38"/>
  <c r="C75" i="38"/>
  <c r="C6" i="38"/>
  <c r="C38" i="38"/>
  <c r="C46" i="38"/>
  <c r="C50" i="38"/>
  <c r="C59" i="38"/>
  <c r="B8" i="39"/>
  <c r="B44" i="39"/>
  <c r="B84" i="39"/>
  <c r="C8" i="39"/>
  <c r="C77" i="39" s="1"/>
  <c r="C84" i="39"/>
  <c r="D8" i="39"/>
  <c r="D44" i="39"/>
  <c r="D84" i="39"/>
  <c r="E8" i="39"/>
  <c r="E44" i="39"/>
  <c r="E84" i="39"/>
  <c r="F8" i="39"/>
  <c r="F44" i="39"/>
  <c r="F84" i="39"/>
  <c r="G44" i="39"/>
  <c r="I84" i="39"/>
  <c r="I85" i="39" s="1"/>
  <c r="I8" i="39"/>
  <c r="I44" i="39"/>
  <c r="K84" i="39"/>
  <c r="K85" i="39" s="1"/>
  <c r="K8" i="39"/>
  <c r="K44" i="39"/>
  <c r="M84" i="39"/>
  <c r="M85" i="39" s="1"/>
  <c r="M8" i="39"/>
  <c r="M44" i="39"/>
  <c r="O84" i="39"/>
  <c r="O85" i="39" s="1"/>
  <c r="O8" i="39"/>
  <c r="O44" i="39"/>
  <c r="Q84" i="39"/>
  <c r="Q8" i="39"/>
  <c r="Q44" i="39"/>
  <c r="S84" i="39"/>
  <c r="S8" i="39"/>
  <c r="S44" i="39"/>
  <c r="O59" i="37"/>
  <c r="O61" i="38"/>
  <c r="U4" i="39"/>
  <c r="U5" i="39"/>
  <c r="U10" i="39"/>
  <c r="U18" i="39" s="1"/>
  <c r="U20" i="39"/>
  <c r="U25" i="39" s="1"/>
  <c r="U69" i="39"/>
  <c r="U79" i="39"/>
  <c r="O3" i="38"/>
  <c r="O4" i="38"/>
  <c r="O5" i="38"/>
  <c r="O7" i="38"/>
  <c r="O8" i="38"/>
  <c r="O9" i="38"/>
  <c r="O15" i="38"/>
  <c r="O16" i="38"/>
  <c r="O17" i="38"/>
  <c r="O19" i="38"/>
  <c r="O20" i="38"/>
  <c r="O21" i="38"/>
  <c r="O23" i="38"/>
  <c r="O36" i="38"/>
  <c r="O37" i="38"/>
  <c r="O39" i="38"/>
  <c r="O40" i="38"/>
  <c r="O41" i="38"/>
  <c r="O42" i="38"/>
  <c r="O43" i="38"/>
  <c r="O45" i="38"/>
  <c r="O49" i="38"/>
  <c r="O52" i="38"/>
  <c r="O53" i="38"/>
  <c r="O57" i="38"/>
  <c r="O58" i="38"/>
  <c r="O60" i="38"/>
  <c r="O70" i="38"/>
  <c r="O72" i="38"/>
  <c r="O73" i="38"/>
  <c r="O74" i="38"/>
  <c r="O3" i="37"/>
  <c r="O4" i="37"/>
  <c r="O5" i="37"/>
  <c r="O45" i="37"/>
  <c r="O48" i="37"/>
  <c r="O50" i="37"/>
  <c r="O55" i="37"/>
  <c r="O56" i="37"/>
  <c r="O58" i="37"/>
  <c r="O68" i="37"/>
  <c r="O69" i="37"/>
  <c r="O71" i="37"/>
  <c r="O74" i="37"/>
  <c r="O4" i="17"/>
  <c r="O5" i="17"/>
  <c r="O7" i="17"/>
  <c r="O8" i="17"/>
  <c r="O10" i="17"/>
  <c r="O11" i="17"/>
  <c r="O13" i="17"/>
  <c r="O14" i="17"/>
  <c r="O15" i="17"/>
  <c r="O22" i="17"/>
  <c r="O28" i="17"/>
  <c r="O32" i="17"/>
  <c r="O33" i="17"/>
  <c r="O34" i="17"/>
  <c r="O35" i="17"/>
  <c r="O39" i="17"/>
  <c r="O42" i="17"/>
  <c r="O43" i="17"/>
  <c r="O44" i="17"/>
  <c r="O45" i="17"/>
  <c r="O46" i="17"/>
  <c r="O47" i="17"/>
  <c r="O48" i="17"/>
  <c r="O49" i="17"/>
  <c r="O50" i="17"/>
  <c r="O52" i="17"/>
  <c r="O3" i="17"/>
  <c r="O62" i="17"/>
  <c r="O63" i="17"/>
  <c r="O65" i="17"/>
  <c r="O66" i="17"/>
  <c r="D77" i="39" l="1"/>
  <c r="D86" i="39" s="1"/>
  <c r="E77" i="39"/>
  <c r="E86" i="39" s="1"/>
  <c r="F77" i="39"/>
  <c r="F86" i="39" s="1"/>
  <c r="I77" i="39"/>
  <c r="I86" i="39" s="1"/>
  <c r="M77" i="39"/>
  <c r="M86" i="39" s="1"/>
  <c r="K77" i="39"/>
  <c r="K86" i="39" s="1"/>
  <c r="O81" i="48"/>
  <c r="F12" i="20"/>
  <c r="O81" i="47"/>
  <c r="E12" i="20"/>
  <c r="O81" i="46"/>
  <c r="D12" i="20"/>
  <c r="O81" i="45"/>
  <c r="C12" i="20"/>
  <c r="Q77" i="39"/>
  <c r="Q86" i="39" s="1"/>
  <c r="S77" i="39"/>
  <c r="S86" i="39" s="1"/>
  <c r="O77" i="39"/>
  <c r="O86" i="39" s="1"/>
  <c r="U76" i="39"/>
  <c r="U8" i="39"/>
  <c r="B5" i="20"/>
  <c r="U72" i="39"/>
  <c r="B77" i="39"/>
  <c r="M69" i="38"/>
  <c r="M76" i="38" s="1"/>
  <c r="G4" i="20"/>
  <c r="G6" i="20"/>
  <c r="M67" i="37"/>
  <c r="M76" i="37" s="1"/>
  <c r="K69" i="38"/>
  <c r="K76" i="38" s="1"/>
  <c r="I76" i="38"/>
  <c r="J76" i="38"/>
  <c r="E69" i="38"/>
  <c r="E76" i="38" s="1"/>
  <c r="K67" i="37"/>
  <c r="I67" i="37"/>
  <c r="H67" i="37"/>
  <c r="L67" i="37"/>
  <c r="J67" i="37"/>
  <c r="F67" i="37"/>
  <c r="F76" i="38"/>
  <c r="D67" i="37"/>
  <c r="G69" i="38"/>
  <c r="D69" i="38"/>
  <c r="C69" i="38"/>
  <c r="C76" i="38" s="1"/>
  <c r="L76" i="38"/>
  <c r="H76" i="38"/>
  <c r="B76" i="38"/>
  <c r="O46" i="38"/>
  <c r="O6" i="38"/>
  <c r="K61" i="17"/>
  <c r="O12" i="17"/>
  <c r="O18" i="37"/>
  <c r="O11" i="37"/>
  <c r="M61" i="17"/>
  <c r="O28" i="37"/>
  <c r="O59" i="38"/>
  <c r="O38" i="38"/>
  <c r="O50" i="38"/>
  <c r="O46" i="37"/>
  <c r="O21" i="17"/>
  <c r="O6" i="37"/>
  <c r="B61" i="17"/>
  <c r="F61" i="17"/>
  <c r="F68" i="17" s="1"/>
  <c r="U84" i="39"/>
  <c r="O79" i="38"/>
  <c r="O66" i="38"/>
  <c r="O79" i="37"/>
  <c r="O64" i="37"/>
  <c r="O44" i="37"/>
  <c r="O57" i="37"/>
  <c r="H61" i="17"/>
  <c r="C61" i="17"/>
  <c r="C68" i="17" s="1"/>
  <c r="D61" i="17"/>
  <c r="O75" i="38"/>
  <c r="G61" i="17"/>
  <c r="O75" i="37"/>
  <c r="O71" i="17"/>
  <c r="O58" i="17"/>
  <c r="O31" i="17"/>
  <c r="O67" i="17"/>
  <c r="O6" i="17"/>
  <c r="O51" i="17"/>
  <c r="O36" i="17"/>
  <c r="O38" i="17"/>
  <c r="B7" i="20" l="1"/>
  <c r="U89" i="39"/>
  <c r="G5" i="20"/>
  <c r="O72" i="17"/>
  <c r="O68" i="17"/>
  <c r="O69" i="38"/>
  <c r="D76" i="38"/>
  <c r="O76" i="38" s="1"/>
  <c r="O67" i="37"/>
  <c r="O80" i="37"/>
  <c r="O76" i="37"/>
  <c r="O61" i="17"/>
  <c r="G68" i="17"/>
  <c r="G7" i="20" l="1"/>
  <c r="B10" i="20"/>
  <c r="G10" i="20" s="1"/>
  <c r="O77" i="38"/>
  <c r="O80" i="38"/>
  <c r="O77" i="37"/>
  <c r="O69" i="17"/>
  <c r="C86" i="39" l="1"/>
  <c r="B86" i="39"/>
  <c r="G77" i="39" l="1"/>
  <c r="G86" i="39" s="1"/>
  <c r="U77" i="39" l="1"/>
  <c r="U90" i="39" l="1"/>
  <c r="B12" i="20" s="1"/>
  <c r="G12" i="20" s="1"/>
  <c r="G13" i="20" s="1" a="1"/>
  <c r="G13" i="20" s="1"/>
  <c r="U86" i="39"/>
  <c r="U87" i="3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tc={EF8FA0EB-5E47-3441-B249-58E5E8C50EAB}</author>
  </authors>
  <commentList>
    <comment ref="G60" authorId="0" shapeId="0" xr:uid="{EF8FA0EB-5E47-3441-B249-58E5E8C50E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Passport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<sst xmlns="http://schemas.openxmlformats.org/spreadsheetml/2006/main" count="1042" uniqueCount="175">
  <si>
    <t>TOTAL</t>
  </si>
  <si>
    <t>FOOD</t>
  </si>
  <si>
    <t>JANUARY</t>
  </si>
  <si>
    <t>MARCH</t>
  </si>
  <si>
    <t>MAY</t>
  </si>
  <si>
    <t>JULY</t>
  </si>
  <si>
    <t xml:space="preserve">AUGUST </t>
  </si>
  <si>
    <t>SEPTEMBER</t>
  </si>
  <si>
    <t>OCTOBER</t>
  </si>
  <si>
    <t>NOVEMBER</t>
  </si>
  <si>
    <t>DECEMBER</t>
  </si>
  <si>
    <t>RENT</t>
  </si>
  <si>
    <t>STUDIO RENT</t>
  </si>
  <si>
    <t>COUNCIL TAX</t>
  </si>
  <si>
    <t>EE</t>
  </si>
  <si>
    <t>VIRGIN</t>
  </si>
  <si>
    <t>VANQUIS</t>
  </si>
  <si>
    <t>ECLECTRICITY</t>
  </si>
  <si>
    <t>TRAVEL</t>
  </si>
  <si>
    <t>NETFLIX</t>
  </si>
  <si>
    <t>EXTRA</t>
  </si>
  <si>
    <t>JAYDA</t>
  </si>
  <si>
    <t>JAYDA SAVING 2</t>
  </si>
  <si>
    <t>JAYDA FRENCH</t>
  </si>
  <si>
    <t>COURSE</t>
  </si>
  <si>
    <t>HOLIDAY FLIGHTS</t>
  </si>
  <si>
    <t>HOLIDAY MONEY</t>
  </si>
  <si>
    <t>GYM</t>
  </si>
  <si>
    <t>CLOTHES</t>
  </si>
  <si>
    <t>OCCASIONS</t>
  </si>
  <si>
    <t>MUSIC RELEASE INV</t>
  </si>
  <si>
    <t>DJ MARKETING</t>
  </si>
  <si>
    <t>GIFTS</t>
  </si>
  <si>
    <t>HOME</t>
  </si>
  <si>
    <t>SINGLE SAVING</t>
  </si>
  <si>
    <t>MY EVENTS</t>
  </si>
  <si>
    <t>GIGS</t>
  </si>
  <si>
    <t>MADE</t>
  </si>
  <si>
    <t>LUNCH</t>
  </si>
  <si>
    <t>LIFE INSURANCE</t>
  </si>
  <si>
    <t>EMERGENCY FUNDS</t>
  </si>
  <si>
    <t>SALARY</t>
  </si>
  <si>
    <t>SAVINGS</t>
  </si>
  <si>
    <t>SPLICE</t>
  </si>
  <si>
    <t>BODY CARE</t>
  </si>
  <si>
    <t>UBER</t>
  </si>
  <si>
    <t>EMERGENCY</t>
  </si>
  <si>
    <t>CAR</t>
  </si>
  <si>
    <t>UNTOUCHED FUNDS</t>
  </si>
  <si>
    <t>YEAR LEFT OVER</t>
  </si>
  <si>
    <t>EXTRA SAVING</t>
  </si>
  <si>
    <t>MONTHLY ALLOWANCE</t>
  </si>
  <si>
    <t>BARBERS</t>
  </si>
  <si>
    <t>PERSONAL TRAINER</t>
  </si>
  <si>
    <t>MY PROTIEN</t>
  </si>
  <si>
    <t>JAYDA DANCE</t>
  </si>
  <si>
    <t>JAYDA ALLOWANCE</t>
  </si>
  <si>
    <t>JAYDA SCHOOL</t>
  </si>
  <si>
    <t>JAYDA HOLIDAY</t>
  </si>
  <si>
    <t>MUMMY</t>
  </si>
  <si>
    <t>FEBURARY</t>
  </si>
  <si>
    <t>APRIL</t>
  </si>
  <si>
    <t>JUNE</t>
  </si>
  <si>
    <t xml:space="preserve">YEAR END </t>
  </si>
  <si>
    <t>TOTAL UNTOUCHED</t>
  </si>
  <si>
    <t>PLUG IN ALLIANCE</t>
  </si>
  <si>
    <t>MICROSOFT</t>
  </si>
  <si>
    <t>APPLE ITUNES</t>
  </si>
  <si>
    <t>ADOBE</t>
  </si>
  <si>
    <t>2025/2026</t>
  </si>
  <si>
    <t>2026/2027</t>
  </si>
  <si>
    <t>TAKE AWAY</t>
  </si>
  <si>
    <t>HOUSE MATE</t>
  </si>
  <si>
    <t>INVESTMENT</t>
  </si>
  <si>
    <t>EVENT  ARREARS</t>
  </si>
  <si>
    <t>DJ GIGS</t>
  </si>
  <si>
    <t xml:space="preserve">EXTRA </t>
  </si>
  <si>
    <t>JAYDA SCHOOL GEAR</t>
  </si>
  <si>
    <t>LAUNDRY</t>
  </si>
  <si>
    <t>HOME DEPOSIT</t>
  </si>
  <si>
    <t>JAYDA EXTRA</t>
  </si>
  <si>
    <t>LINKTREE</t>
  </si>
  <si>
    <t>PRODUCTION</t>
  </si>
  <si>
    <t>CLOTHES /SELF SHOPPING</t>
  </si>
  <si>
    <t>HOTEL</t>
  </si>
  <si>
    <t>SPOTIFY</t>
  </si>
  <si>
    <t>DRMS</t>
  </si>
  <si>
    <t>MAILCHIMP</t>
  </si>
  <si>
    <t>ECLECTRICITY ARREARS</t>
  </si>
  <si>
    <t>ELECTRICITY</t>
  </si>
  <si>
    <t>TOTAL ASSETS</t>
  </si>
  <si>
    <t>DEDUCTIONS</t>
  </si>
  <si>
    <t>2027/2028</t>
  </si>
  <si>
    <t>AMOUNT</t>
  </si>
  <si>
    <t>WITHDRAWAL</t>
  </si>
  <si>
    <t>DATE</t>
  </si>
  <si>
    <t>INVESTMENT RETURNS</t>
  </si>
  <si>
    <t xml:space="preserve"> </t>
  </si>
  <si>
    <t>WEDDING</t>
  </si>
  <si>
    <t>LENDING</t>
  </si>
  <si>
    <t>SERVER</t>
  </si>
  <si>
    <t>FLIGHTS</t>
  </si>
  <si>
    <t>TRAIN</t>
  </si>
  <si>
    <t>FAMILY</t>
  </si>
  <si>
    <t>TRAVEL SPENDING</t>
  </si>
  <si>
    <t>TANA</t>
  </si>
  <si>
    <t>JAYDA CLOTHES</t>
  </si>
  <si>
    <t>BRAVO</t>
  </si>
  <si>
    <t>HOME APPLIANCES AND DÉCOR</t>
  </si>
  <si>
    <t>MixWMasters</t>
  </si>
  <si>
    <t>MORTGAGE</t>
  </si>
  <si>
    <t>2028/2029</t>
  </si>
  <si>
    <t>CARD</t>
  </si>
  <si>
    <t>HOLIDAY</t>
  </si>
  <si>
    <t>MONZO</t>
  </si>
  <si>
    <t>REVOLUT</t>
  </si>
  <si>
    <t>SLATE</t>
  </si>
  <si>
    <t>\</t>
  </si>
  <si>
    <t>OPEN AI</t>
  </si>
  <si>
    <t>SITE GROUND</t>
  </si>
  <si>
    <t>APPLICANE INSURANCE</t>
  </si>
  <si>
    <t>DISTROKID</t>
  </si>
  <si>
    <t>SNOOP</t>
  </si>
  <si>
    <t>EXPERIAN</t>
  </si>
  <si>
    <t>SERATO</t>
  </si>
  <si>
    <t>AUDIO GEAR</t>
  </si>
  <si>
    <t xml:space="preserve">   </t>
  </si>
  <si>
    <t>2029/2030</t>
  </si>
  <si>
    <t>OTHER</t>
  </si>
  <si>
    <t>ZURICH LIFE INSURANCE</t>
  </si>
  <si>
    <t>THAMESWATER</t>
  </si>
  <si>
    <t>THAMES WATER</t>
  </si>
  <si>
    <t>ZURICH</t>
  </si>
  <si>
    <t>SKY</t>
  </si>
  <si>
    <t>MISC</t>
  </si>
  <si>
    <t>GAS</t>
  </si>
  <si>
    <t>2025 - 2026</t>
  </si>
  <si>
    <t>SUB TOTAL</t>
  </si>
  <si>
    <t>UTILITIES</t>
  </si>
  <si>
    <t>HOUSING COSTS</t>
  </si>
  <si>
    <t>SUBSCRIPTIONS</t>
  </si>
  <si>
    <t>CHILDCARE</t>
  </si>
  <si>
    <t>SELF DEVELOPMEMT</t>
  </si>
  <si>
    <t>ALLOWANCES</t>
  </si>
  <si>
    <t>LOAN DEBTS</t>
  </si>
  <si>
    <t>INVESTMENT CONTRIBUTION</t>
  </si>
  <si>
    <t>TRADING 212</t>
  </si>
  <si>
    <t>SELF CARE</t>
  </si>
  <si>
    <t>GRAND TOTAL</t>
  </si>
  <si>
    <t>INCOME STREAM</t>
  </si>
  <si>
    <t>REMAINING</t>
  </si>
  <si>
    <t>YEAR TOTAL</t>
  </si>
  <si>
    <t>TOTAL INCOME</t>
  </si>
  <si>
    <t>WORK TRAVEL</t>
  </si>
  <si>
    <t>DISNEY PLUS</t>
  </si>
  <si>
    <t>OTHER EXPENSIVE</t>
  </si>
  <si>
    <t>SAVING</t>
  </si>
  <si>
    <t>HONE DECO / REPAIR</t>
  </si>
  <si>
    <t>CYPTO</t>
  </si>
  <si>
    <t>2026 - 2027</t>
  </si>
  <si>
    <t>2027 - 2028</t>
  </si>
  <si>
    <t>2028 - 2029</t>
  </si>
  <si>
    <t>2029 - 2030</t>
  </si>
  <si>
    <t>FLIGHT</t>
  </si>
  <si>
    <t>OWINGS</t>
  </si>
  <si>
    <t>NATWEST CARD</t>
  </si>
  <si>
    <t>Not Paid</t>
  </si>
  <si>
    <t>AVAILABLE BUDGET</t>
  </si>
  <si>
    <t>LESSONS</t>
  </si>
  <si>
    <t>TAKE FORWARD</t>
  </si>
  <si>
    <t>Paid</t>
  </si>
  <si>
    <t>HOTEL 1</t>
  </si>
  <si>
    <t>HOTEL 2</t>
  </si>
  <si>
    <t>VANQUIS CARD</t>
  </si>
  <si>
    <t>TRAIN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</si>
</sst>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[$-F800]dddd\,\ mmmm\ dd\,\ yyyy"/>
  </numFmts>
  <fonts count="52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4"/>
      <color theme="0"/>
      <name val="Calibri"/>
      <family val="2"/>
    </font>
    <font>
      <sz val="12"/>
      <name val="Arial"/>
      <family val="2"/>
    </font>
    <font>
      <b/>
      <sz val="14"/>
      <color theme="1"/>
      <name val="Calibri"/>
      <family val="2"/>
    </font>
    <font>
      <sz val="16"/>
      <color theme="0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4"/>
      <color theme="0"/>
      <name val="Calibri"/>
      <family val="2"/>
    </font>
    <font>
      <sz val="14"/>
      <color rgb="FFFFFFFF"/>
      <name val="Calibri"/>
      <family val="2"/>
    </font>
    <font>
      <b/>
      <sz val="14"/>
      <color rgb="FFFFFFFF"/>
      <name val="Calibri"/>
      <family val="2"/>
    </font>
    <font>
      <b/>
      <sz val="14"/>
      <color theme="2"/>
      <name val="Arial"/>
      <family val="2"/>
    </font>
    <font>
      <sz val="12"/>
      <color theme="1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2"/>
      <color theme="0"/>
      <name val="Arial"/>
      <family val="2"/>
    </font>
    <font>
      <sz val="14"/>
      <color theme="2"/>
      <name val="Calibri"/>
      <family val="2"/>
    </font>
    <font>
      <b/>
      <sz val="14"/>
      <color theme="2"/>
      <name val="Calibri"/>
      <family val="2"/>
    </font>
    <font>
      <b/>
      <sz val="18"/>
      <color theme="0"/>
      <name val="Arial"/>
      <family val="2"/>
    </font>
    <font>
      <sz val="14"/>
      <color theme="1"/>
      <name val="Calibri"/>
      <family val="2"/>
    </font>
    <font>
      <b/>
      <sz val="14"/>
      <color theme="0"/>
      <name val="Arial"/>
      <family val="2"/>
    </font>
    <font>
      <b/>
      <sz val="20"/>
      <color theme="0"/>
      <name val="Calibri"/>
      <family val="2"/>
    </font>
    <font>
      <sz val="16"/>
      <color theme="0"/>
      <name val="Arial"/>
      <family val="2"/>
    </font>
    <font>
      <sz val="12"/>
      <color theme="2"/>
      <name val="Arial"/>
      <family val="2"/>
    </font>
    <font>
      <b/>
      <sz val="12"/>
      <color theme="2"/>
      <name val="Arial"/>
      <family val="2"/>
    </font>
    <font>
      <b/>
      <sz val="14"/>
      <color theme="1" tint="4.9989318521683403E-2"/>
      <name val="Calibri"/>
      <family val="2"/>
    </font>
    <font>
      <sz val="14"/>
      <color theme="1" tint="4.9989318521683403E-2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6"/>
      <color theme="2"/>
      <name val="Calibri"/>
      <family val="2"/>
    </font>
    <font>
      <b/>
      <sz val="18"/>
      <name val="Calibri"/>
      <family val="2"/>
    </font>
    <font>
      <b/>
      <sz val="18"/>
      <color theme="2"/>
      <name val="Calibri"/>
      <family val="2"/>
    </font>
    <font>
      <b/>
      <sz val="18"/>
      <color theme="1"/>
      <name val="Calibri"/>
      <family val="2"/>
    </font>
    <font>
      <sz val="18"/>
      <color theme="1"/>
      <name val="Arial"/>
      <family val="2"/>
    </font>
    <font>
      <b/>
      <sz val="18"/>
      <color theme="0"/>
      <name val="Calibri"/>
      <family val="2"/>
    </font>
    <font>
      <sz val="18"/>
      <name val="Arial"/>
      <family val="2"/>
    </font>
    <font>
      <b/>
      <sz val="18"/>
      <color theme="2"/>
      <name val="Arial"/>
      <family val="2"/>
    </font>
    <font>
      <sz val="18"/>
      <color theme="0"/>
      <name val="Calibri"/>
      <family val="2"/>
    </font>
    <font>
      <sz val="18"/>
      <name val="Calibri"/>
      <family val="2"/>
    </font>
    <font>
      <b/>
      <sz val="16"/>
      <color theme="2"/>
      <name val="Arial"/>
      <family val="2"/>
    </font>
    <font>
      <b/>
      <sz val="18"/>
      <name val="Arial"/>
      <family val="2"/>
    </font>
    <font>
      <sz val="18"/>
      <color theme="2"/>
      <name val="Calibri"/>
      <family val="2"/>
    </font>
    <font>
      <b/>
      <sz val="16"/>
      <color rgb="FF000000"/>
      <name val="Calibri"/>
      <family val="2"/>
    </font>
    <font>
      <b/>
      <sz val="16"/>
      <color theme="1" tint="4.9989318521683403E-2"/>
      <name val="Calibri"/>
      <family val="2"/>
    </font>
    <font>
      <b/>
      <sz val="18"/>
      <color rgb="FF000000"/>
      <name val="Calibri"/>
      <family val="2"/>
    </font>
  </fonts>
  <fills count="79">
    <fill>
      <patternFill patternType="none"/>
    </fill>
    <fill>
      <patternFill patternType="gray125"/>
    </fill>
    <fill>
      <patternFill patternType="solid">
        <fgColor rgb="FF0720F4"/>
        <bgColor rgb="FF0720F4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8000"/>
        <bgColor rgb="FF008000"/>
      </patternFill>
    </fill>
    <fill>
      <patternFill patternType="solid">
        <fgColor rgb="FF385623"/>
        <bgColor rgb="FF385623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rgb="FF385623"/>
      </patternFill>
    </fill>
    <fill>
      <patternFill patternType="solid">
        <fgColor theme="3"/>
        <bgColor rgb="FFFF0000"/>
      </patternFill>
    </fill>
    <fill>
      <patternFill patternType="solid">
        <fgColor theme="3"/>
        <bgColor rgb="FFFFFF00"/>
      </patternFill>
    </fill>
    <fill>
      <patternFill patternType="solid">
        <fgColor theme="3"/>
        <bgColor rgb="FF0720F4"/>
      </patternFill>
    </fill>
    <fill>
      <patternFill patternType="solid">
        <fgColor theme="3"/>
        <bgColor rgb="FF833C0B"/>
      </patternFill>
    </fill>
    <fill>
      <patternFill patternType="solid">
        <fgColor rgb="FF10043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B2F07"/>
        <bgColor rgb="FF833C0B"/>
      </patternFill>
    </fill>
    <fill>
      <patternFill patternType="solid">
        <fgColor rgb="FF6B2F07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theme="3"/>
        <bgColor theme="1"/>
      </patternFill>
    </fill>
    <fill>
      <patternFill patternType="solid">
        <fgColor rgb="FFFF0000"/>
        <bgColor rgb="FFFFFF00"/>
      </patternFill>
    </fill>
    <fill>
      <patternFill patternType="solid">
        <fgColor theme="1"/>
        <bgColor rgb="FF0720F4"/>
      </patternFill>
    </fill>
    <fill>
      <patternFill patternType="solid">
        <fgColor theme="1"/>
        <bgColor rgb="FFFF0000"/>
      </patternFill>
    </fill>
    <fill>
      <patternFill patternType="solid">
        <fgColor theme="1"/>
        <bgColor rgb="FFFFFF00"/>
      </patternFill>
    </fill>
    <fill>
      <patternFill patternType="solid">
        <fgColor theme="1"/>
        <bgColor rgb="FF385623"/>
      </patternFill>
    </fill>
    <fill>
      <patternFill patternType="solid">
        <fgColor theme="1"/>
        <bgColor rgb="FF0000FF"/>
      </patternFill>
    </fill>
    <fill>
      <patternFill patternType="solid">
        <fgColor rgb="FF100435"/>
        <bgColor rgb="FF0720F4"/>
      </patternFill>
    </fill>
    <fill>
      <patternFill patternType="solid">
        <fgColor rgb="FF100435"/>
        <bgColor rgb="FFFF0000"/>
      </patternFill>
    </fill>
    <fill>
      <patternFill patternType="solid">
        <fgColor rgb="FF100435"/>
        <bgColor rgb="FF385623"/>
      </patternFill>
    </fill>
    <fill>
      <patternFill patternType="solid">
        <fgColor rgb="FF100435"/>
        <bgColor rgb="FFFFFF00"/>
      </patternFill>
    </fill>
    <fill>
      <patternFill patternType="solid">
        <fgColor rgb="FF100435"/>
        <bgColor rgb="FF0000FF"/>
      </patternFill>
    </fill>
    <fill>
      <patternFill patternType="solid">
        <fgColor rgb="FF100435"/>
        <bgColor rgb="FF833C0B"/>
      </patternFill>
    </fill>
    <fill>
      <patternFill patternType="solid">
        <fgColor rgb="FF100435"/>
        <bgColor theme="1"/>
      </patternFill>
    </fill>
    <fill>
      <patternFill patternType="solid">
        <fgColor theme="4"/>
        <bgColor indexed="64"/>
      </patternFill>
    </fill>
    <fill>
      <patternFill patternType="solid">
        <fgColor rgb="FF670056"/>
        <bgColor indexed="64"/>
      </patternFill>
    </fill>
    <fill>
      <patternFill patternType="solid">
        <fgColor rgb="FF1820F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820F5"/>
        <bgColor rgb="FF0720F4"/>
      </patternFill>
    </fill>
    <fill>
      <patternFill patternType="solid">
        <fgColor theme="1"/>
        <bgColor rgb="FF833C0B"/>
      </patternFill>
    </fill>
    <fill>
      <patternFill patternType="solid">
        <fgColor rgb="FFFF0000"/>
        <bgColor rgb="FF0720F4"/>
      </patternFill>
    </fill>
    <fill>
      <patternFill patternType="solid">
        <fgColor theme="3"/>
        <bgColor indexed="64"/>
      </patternFill>
    </fill>
    <fill>
      <patternFill patternType="solid">
        <fgColor theme="1" tint="4.9989318521683403E-2"/>
        <bgColor rgb="FF0000FF"/>
      </patternFill>
    </fill>
    <fill>
      <patternFill patternType="solid">
        <fgColor rgb="FF000000"/>
        <bgColor rgb="FF385623"/>
      </patternFill>
    </fill>
    <fill>
      <patternFill patternType="solid">
        <fgColor rgb="FF000000"/>
        <bgColor rgb="FFFF0000"/>
      </patternFill>
    </fill>
    <fill>
      <patternFill patternType="solid">
        <fgColor rgb="FF000000"/>
        <bgColor rgb="FFFFFF00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rgb="FF0720F4"/>
      </patternFill>
    </fill>
    <fill>
      <patternFill patternType="solid">
        <fgColor rgb="FF000000"/>
        <bgColor rgb="FF833C0B"/>
      </patternFill>
    </fill>
    <fill>
      <patternFill patternType="solid">
        <fgColor rgb="FF000000"/>
        <bgColor theme="1"/>
      </patternFill>
    </fill>
    <fill>
      <patternFill patternType="solid">
        <fgColor rgb="FF000000"/>
        <bgColor rgb="FF0000FF"/>
      </patternFill>
    </fill>
    <fill>
      <patternFill patternType="solid">
        <fgColor rgb="FF6B2F07"/>
        <bgColor rgb="FFFF0000"/>
      </patternFill>
    </fill>
    <fill>
      <patternFill patternType="solid">
        <fgColor rgb="FFFFFF00"/>
        <bgColor rgb="FFFF0000"/>
      </patternFill>
    </fill>
    <fill>
      <patternFill patternType="solid">
        <fgColor rgb="FFFFEA17"/>
        <bgColor indexed="64"/>
      </patternFill>
    </fill>
    <fill>
      <patternFill patternType="solid">
        <fgColor theme="1" tint="0.249977111117893"/>
        <bgColor rgb="FFFF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FFFF00"/>
      </patternFill>
    </fill>
    <fill>
      <patternFill patternType="solid">
        <fgColor theme="1" tint="0.249977111117893"/>
        <bgColor rgb="FF833C0B"/>
      </patternFill>
    </fill>
    <fill>
      <patternFill patternType="solid">
        <fgColor theme="1" tint="0.249977111117893"/>
        <bgColor rgb="FF0720F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8000"/>
      </patternFill>
    </fill>
    <fill>
      <patternFill patternType="solid">
        <fgColor theme="1" tint="0.14999847407452621"/>
        <bgColor rgb="FFFF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rgb="FF385623"/>
      </patternFill>
    </fill>
    <fill>
      <patternFill patternType="solid">
        <fgColor rgb="FFFFFF00"/>
        <bgColor rgb="FF0720F4"/>
      </patternFill>
    </fill>
    <fill>
      <patternFill patternType="solid">
        <fgColor rgb="FFFFFF00"/>
        <bgColor rgb="FF833C0B"/>
      </patternFill>
    </fill>
    <fill>
      <patternFill patternType="solid">
        <fgColor theme="1" tint="4.9989318521683403E-2"/>
        <bgColor rgb="FFFF0000"/>
      </patternFill>
    </fill>
    <fill>
      <patternFill patternType="solid">
        <fgColor rgb="FFFFEA17"/>
        <bgColor rgb="FF0000FF"/>
      </patternFill>
    </fill>
    <fill>
      <patternFill patternType="solid">
        <fgColor rgb="FFFFEA17"/>
        <bgColor rgb="FF0720F4"/>
      </patternFill>
    </fill>
    <fill>
      <patternFill patternType="solid">
        <fgColor theme="0"/>
        <bgColor rgb="FFFF0000"/>
      </patternFill>
    </fill>
    <fill>
      <patternFill patternType="solid">
        <fgColor theme="2"/>
        <bgColor rgb="FFFF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720F4"/>
      </patternFill>
    </fill>
    <fill>
      <patternFill patternType="solid">
        <fgColor theme="2"/>
        <bgColor rgb="FFFFFF00"/>
      </patternFill>
    </fill>
    <fill>
      <patternFill patternType="solid">
        <fgColor theme="2"/>
        <bgColor rgb="FF833C0B"/>
      </patternFill>
    </fill>
    <fill>
      <patternFill patternType="solid">
        <fgColor theme="2"/>
        <bgColor rgb="FF385623"/>
      </patternFill>
    </fill>
    <fill>
      <patternFill patternType="solid">
        <fgColor theme="2"/>
        <bgColor rgb="FF0000FF"/>
      </patternFill>
    </fill>
  </fills>
  <borders count="115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medium">
        <color indexed="64"/>
      </left>
      <right style="hair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theme="1" tint="0.499984740745262"/>
      </right>
      <top style="medium">
        <color rgb="FF000000"/>
      </top>
      <bottom style="medium">
        <color rgb="FF000000"/>
      </bottom>
      <diagonal/>
    </border>
    <border>
      <left/>
      <right style="medium">
        <color theme="1" tint="0.499984740745262"/>
      </right>
      <top style="medium">
        <color rgb="FF000000"/>
      </top>
      <bottom/>
      <diagonal/>
    </border>
    <border>
      <left/>
      <right style="medium">
        <color theme="1" tint="0.499984740745262"/>
      </right>
      <top style="medium">
        <color rgb="FF000000"/>
      </top>
      <bottom style="thin">
        <color indexed="64"/>
      </bottom>
      <diagonal/>
    </border>
    <border>
      <left style="medium">
        <color theme="1" tint="0.499984740745262"/>
      </left>
      <right style="hair">
        <color theme="1" tint="0.499984740745262"/>
      </right>
      <top style="medium">
        <color rgb="FF000000"/>
      </top>
      <bottom style="thin">
        <color indexed="64"/>
      </bottom>
      <diagonal/>
    </border>
    <border>
      <left style="medium">
        <color theme="1" tint="0.499984740745262"/>
      </left>
      <right style="hair">
        <color theme="1" tint="0.499984740745262"/>
      </right>
      <top style="medium">
        <color rgb="FF000000"/>
      </top>
      <bottom style="medium">
        <color rgb="FF000000"/>
      </bottom>
      <diagonal/>
    </border>
    <border>
      <left style="medium">
        <color theme="1" tint="0.499984740745262"/>
      </left>
      <right style="hair">
        <color theme="1" tint="0.499984740745262"/>
      </right>
      <top style="medium">
        <color rgb="FF000000"/>
      </top>
      <bottom/>
      <diagonal/>
    </border>
    <border>
      <left style="medium">
        <color rgb="FF000000"/>
      </left>
      <right style="hair">
        <color theme="1" tint="0.499984740745262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theme="1" tint="0.499984740745262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hair">
        <color theme="1" tint="0.499984740745262"/>
      </right>
      <top style="medium">
        <color rgb="FF000000"/>
      </top>
      <bottom/>
      <diagonal/>
    </border>
    <border>
      <left style="medium">
        <color indexed="64"/>
      </left>
      <right style="hair">
        <color theme="1" tint="0.499984740745262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42"/>
    <xf numFmtId="0" fontId="16" fillId="0" borderId="42"/>
    <xf numFmtId="0" fontId="1" fillId="0" borderId="42"/>
  </cellStyleXfs>
  <cellXfs count="849">
    <xf numFmtId="0" fontId="0" fillId="0" borderId="0" xfId="0"/>
    <xf numFmtId="12" fontId="4" fillId="5" borderId="5" xfId="0" applyNumberFormat="1" applyFont="1" applyFill="1" applyBorder="1" applyAlignment="1">
      <alignment horizontal="center" vertical="center"/>
    </xf>
    <xf numFmtId="164" fontId="11" fillId="0" borderId="30" xfId="0" applyNumberFormat="1" applyFont="1" applyBorder="1" applyAlignment="1">
      <alignment horizontal="right" vertical="center"/>
    </xf>
    <xf numFmtId="12" fontId="4" fillId="5" borderId="3" xfId="0" applyNumberFormat="1" applyFont="1" applyFill="1" applyBorder="1" applyAlignment="1">
      <alignment horizontal="center" vertical="center" wrapText="1"/>
    </xf>
    <xf numFmtId="164" fontId="4" fillId="3" borderId="18" xfId="0" applyNumberFormat="1" applyFont="1" applyFill="1" applyBorder="1" applyAlignment="1">
      <alignment vertical="center"/>
    </xf>
    <xf numFmtId="164" fontId="12" fillId="3" borderId="18" xfId="0" applyNumberFormat="1" applyFont="1" applyFill="1" applyBorder="1" applyAlignment="1">
      <alignment vertical="center"/>
    </xf>
    <xf numFmtId="164" fontId="4" fillId="3" borderId="16" xfId="0" applyNumberFormat="1" applyFont="1" applyFill="1" applyBorder="1" applyAlignment="1">
      <alignment vertical="center"/>
    </xf>
    <xf numFmtId="164" fontId="4" fillId="3" borderId="25" xfId="0" applyNumberFormat="1" applyFont="1" applyFill="1" applyBorder="1" applyAlignment="1">
      <alignment vertical="center"/>
    </xf>
    <xf numFmtId="164" fontId="11" fillId="0" borderId="38" xfId="0" applyNumberFormat="1" applyFont="1" applyBorder="1" applyAlignment="1">
      <alignment horizontal="right" vertical="center"/>
    </xf>
    <xf numFmtId="164" fontId="7" fillId="2" borderId="35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16" xfId="0" applyFont="1" applyFill="1" applyBorder="1" applyAlignment="1">
      <alignment vertical="center"/>
    </xf>
    <xf numFmtId="164" fontId="12" fillId="8" borderId="18" xfId="0" applyNumberFormat="1" applyFont="1" applyFill="1" applyBorder="1" applyAlignment="1">
      <alignment vertical="center"/>
    </xf>
    <xf numFmtId="164" fontId="3" fillId="0" borderId="16" xfId="0" applyNumberFormat="1" applyFont="1" applyBorder="1" applyAlignment="1">
      <alignment vertical="center"/>
    </xf>
    <xf numFmtId="164" fontId="6" fillId="6" borderId="18" xfId="0" applyNumberFormat="1" applyFont="1" applyFill="1" applyBorder="1" applyAlignment="1">
      <alignment vertical="center"/>
    </xf>
    <xf numFmtId="164" fontId="12" fillId="2" borderId="18" xfId="0" applyNumberFormat="1" applyFont="1" applyFill="1" applyBorder="1" applyAlignment="1">
      <alignment vertical="center"/>
    </xf>
    <xf numFmtId="164" fontId="12" fillId="2" borderId="24" xfId="0" applyNumberFormat="1" applyFont="1" applyFill="1" applyBorder="1" applyAlignment="1">
      <alignment vertical="center"/>
    </xf>
    <xf numFmtId="164" fontId="4" fillId="4" borderId="17" xfId="0" applyNumberFormat="1" applyFont="1" applyFill="1" applyBorder="1" applyAlignment="1">
      <alignment vertical="center"/>
    </xf>
    <xf numFmtId="164" fontId="13" fillId="2" borderId="18" xfId="0" applyNumberFormat="1" applyFont="1" applyFill="1" applyBorder="1" applyAlignment="1">
      <alignment vertical="center"/>
    </xf>
    <xf numFmtId="164" fontId="4" fillId="3" borderId="21" xfId="0" applyNumberFormat="1" applyFont="1" applyFill="1" applyBorder="1" applyAlignment="1">
      <alignment vertical="center"/>
    </xf>
    <xf numFmtId="164" fontId="12" fillId="3" borderId="21" xfId="0" applyNumberFormat="1" applyFont="1" applyFill="1" applyBorder="1" applyAlignment="1">
      <alignment vertical="center"/>
    </xf>
    <xf numFmtId="164" fontId="4" fillId="3" borderId="37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4" fontId="11" fillId="0" borderId="42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42" xfId="0" applyNumberFormat="1" applyFon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7" fillId="16" borderId="53" xfId="0" applyFont="1" applyFill="1" applyBorder="1" applyAlignment="1">
      <alignment horizontal="center" vertical="center"/>
    </xf>
    <xf numFmtId="164" fontId="12" fillId="3" borderId="38" xfId="0" applyNumberFormat="1" applyFont="1" applyFill="1" applyBorder="1" applyAlignment="1">
      <alignment vertical="center"/>
    </xf>
    <xf numFmtId="164" fontId="15" fillId="9" borderId="46" xfId="0" applyNumberFormat="1" applyFont="1" applyFill="1" applyBorder="1" applyAlignment="1">
      <alignment horizontal="center" vertical="center"/>
    </xf>
    <xf numFmtId="164" fontId="12" fillId="18" borderId="18" xfId="0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164" fontId="22" fillId="22" borderId="18" xfId="0" applyNumberFormat="1" applyFont="1" applyFill="1" applyBorder="1" applyAlignment="1">
      <alignment vertical="center"/>
    </xf>
    <xf numFmtId="12" fontId="4" fillId="5" borderId="1" xfId="0" applyNumberFormat="1" applyFont="1" applyFill="1" applyBorder="1" applyAlignment="1">
      <alignment horizontal="left" vertical="center" wrapText="1" indent="1"/>
    </xf>
    <xf numFmtId="164" fontId="4" fillId="8" borderId="17" xfId="0" applyNumberFormat="1" applyFont="1" applyFill="1" applyBorder="1" applyAlignment="1">
      <alignment horizontal="left" vertical="center" indent="1"/>
    </xf>
    <xf numFmtId="164" fontId="4" fillId="3" borderId="17" xfId="0" applyNumberFormat="1" applyFont="1" applyFill="1" applyBorder="1" applyAlignment="1">
      <alignment horizontal="left" vertical="center" indent="1"/>
    </xf>
    <xf numFmtId="164" fontId="6" fillId="6" borderId="17" xfId="0" applyNumberFormat="1" applyFont="1" applyFill="1" applyBorder="1" applyAlignment="1">
      <alignment horizontal="left" vertical="center" indent="1"/>
    </xf>
    <xf numFmtId="164" fontId="6" fillId="22" borderId="17" xfId="0" applyNumberFormat="1" applyFont="1" applyFill="1" applyBorder="1" applyAlignment="1">
      <alignment horizontal="left" vertical="center" indent="1"/>
    </xf>
    <xf numFmtId="164" fontId="4" fillId="2" borderId="17" xfId="0" applyNumberFormat="1" applyFont="1" applyFill="1" applyBorder="1" applyAlignment="1">
      <alignment horizontal="left" vertical="center" indent="1"/>
    </xf>
    <xf numFmtId="164" fontId="4" fillId="18" borderId="17" xfId="0" applyNumberFormat="1" applyFont="1" applyFill="1" applyBorder="1" applyAlignment="1">
      <alignment horizontal="left" vertical="center" indent="1"/>
    </xf>
    <xf numFmtId="164" fontId="6" fillId="20" borderId="17" xfId="0" applyNumberFormat="1" applyFont="1" applyFill="1" applyBorder="1" applyAlignment="1">
      <alignment horizontal="left" vertical="center" indent="1"/>
    </xf>
    <xf numFmtId="0" fontId="4" fillId="3" borderId="19" xfId="0" applyFont="1" applyFill="1" applyBorder="1" applyAlignment="1">
      <alignment horizontal="left" vertical="center" indent="1"/>
    </xf>
    <xf numFmtId="164" fontId="4" fillId="4" borderId="17" xfId="0" applyNumberFormat="1" applyFont="1" applyFill="1" applyBorder="1" applyAlignment="1">
      <alignment horizontal="left" vertical="center" indent="1"/>
    </xf>
    <xf numFmtId="164" fontId="14" fillId="2" borderId="17" xfId="0" applyNumberFormat="1" applyFont="1" applyFill="1" applyBorder="1" applyAlignment="1">
      <alignment horizontal="left" vertical="center" indent="1"/>
    </xf>
    <xf numFmtId="0" fontId="10" fillId="3" borderId="25" xfId="0" applyFont="1" applyFill="1" applyBorder="1" applyAlignment="1">
      <alignment horizontal="left" vertical="center" indent="1"/>
    </xf>
    <xf numFmtId="164" fontId="4" fillId="3" borderId="20" xfId="0" applyNumberFormat="1" applyFont="1" applyFill="1" applyBorder="1" applyAlignment="1">
      <alignment horizontal="left" vertical="center" indent="1"/>
    </xf>
    <xf numFmtId="164" fontId="4" fillId="3" borderId="23" xfId="0" applyNumberFormat="1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64" fontId="4" fillId="19" borderId="17" xfId="0" applyNumberFormat="1" applyFont="1" applyFill="1" applyBorder="1" applyAlignment="1">
      <alignment horizontal="left" vertical="center" indent="1"/>
    </xf>
    <xf numFmtId="164" fontId="6" fillId="0" borderId="16" xfId="0" applyNumberFormat="1" applyFont="1" applyBorder="1" applyAlignment="1">
      <alignment vertical="center"/>
    </xf>
    <xf numFmtId="164" fontId="8" fillId="0" borderId="16" xfId="0" applyNumberFormat="1" applyFont="1" applyBorder="1" applyAlignment="1">
      <alignment vertical="center"/>
    </xf>
    <xf numFmtId="164" fontId="8" fillId="0" borderId="30" xfId="0" applyNumberFormat="1" applyFont="1" applyBorder="1" applyAlignment="1">
      <alignment horizontal="right" vertical="center"/>
    </xf>
    <xf numFmtId="164" fontId="8" fillId="0" borderId="38" xfId="0" applyNumberFormat="1" applyFont="1" applyBorder="1" applyAlignment="1">
      <alignment horizontal="right" vertical="center"/>
    </xf>
    <xf numFmtId="0" fontId="18" fillId="0" borderId="51" xfId="0" applyFont="1" applyBorder="1" applyAlignment="1">
      <alignment horizontal="left" vertical="center" indent="1"/>
    </xf>
    <xf numFmtId="164" fontId="4" fillId="3" borderId="49" xfId="0" applyNumberFormat="1" applyFont="1" applyFill="1" applyBorder="1" applyAlignment="1">
      <alignment horizontal="left" vertical="center" indent="1"/>
    </xf>
    <xf numFmtId="164" fontId="4" fillId="3" borderId="58" xfId="0" applyNumberFormat="1" applyFont="1" applyFill="1" applyBorder="1" applyAlignment="1">
      <alignment horizontal="left" vertical="center" indent="1"/>
    </xf>
    <xf numFmtId="164" fontId="12" fillId="3" borderId="50" xfId="0" applyNumberFormat="1" applyFont="1" applyFill="1" applyBorder="1" applyAlignment="1">
      <alignment vertical="center"/>
    </xf>
    <xf numFmtId="164" fontId="4" fillId="3" borderId="61" xfId="0" applyNumberFormat="1" applyFont="1" applyFill="1" applyBorder="1" applyAlignment="1">
      <alignment horizontal="left" vertical="center" indent="1"/>
    </xf>
    <xf numFmtId="164" fontId="6" fillId="17" borderId="18" xfId="0" applyNumberFormat="1" applyFont="1" applyFill="1" applyBorder="1" applyAlignment="1">
      <alignment vertical="center"/>
    </xf>
    <xf numFmtId="164" fontId="24" fillId="17" borderId="18" xfId="0" applyNumberFormat="1" applyFont="1" applyFill="1" applyBorder="1" applyAlignment="1">
      <alignment vertical="center"/>
    </xf>
    <xf numFmtId="12" fontId="6" fillId="23" borderId="2" xfId="0" applyNumberFormat="1" applyFont="1" applyFill="1" applyBorder="1" applyAlignment="1">
      <alignment horizontal="center" vertical="center" wrapText="1"/>
    </xf>
    <xf numFmtId="164" fontId="6" fillId="25" borderId="18" xfId="0" applyNumberFormat="1" applyFont="1" applyFill="1" applyBorder="1" applyAlignment="1">
      <alignment vertical="center"/>
    </xf>
    <xf numFmtId="164" fontId="6" fillId="24" borderId="18" xfId="0" applyNumberFormat="1" applyFont="1" applyFill="1" applyBorder="1" applyAlignment="1">
      <alignment vertical="center"/>
    </xf>
    <xf numFmtId="164" fontId="24" fillId="23" borderId="18" xfId="0" applyNumberFormat="1" applyFont="1" applyFill="1" applyBorder="1" applyAlignment="1">
      <alignment vertical="center"/>
    </xf>
    <xf numFmtId="164" fontId="24" fillId="24" borderId="18" xfId="0" applyNumberFormat="1" applyFont="1" applyFill="1" applyBorder="1" applyAlignment="1">
      <alignment vertical="center"/>
    </xf>
    <xf numFmtId="164" fontId="6" fillId="24" borderId="16" xfId="0" applyNumberFormat="1" applyFont="1" applyFill="1" applyBorder="1" applyAlignment="1">
      <alignment vertical="center"/>
    </xf>
    <xf numFmtId="164" fontId="6" fillId="4" borderId="17" xfId="0" applyNumberFormat="1" applyFont="1" applyFill="1" applyBorder="1" applyAlignment="1">
      <alignment vertical="center"/>
    </xf>
    <xf numFmtId="164" fontId="6" fillId="24" borderId="25" xfId="0" applyNumberFormat="1" applyFont="1" applyFill="1" applyBorder="1" applyAlignment="1">
      <alignment vertical="center"/>
    </xf>
    <xf numFmtId="164" fontId="6" fillId="24" borderId="21" xfId="0" applyNumberFormat="1" applyFont="1" applyFill="1" applyBorder="1" applyAlignment="1">
      <alignment vertical="center"/>
    </xf>
    <xf numFmtId="164" fontId="6" fillId="24" borderId="50" xfId="0" applyNumberFormat="1" applyFont="1" applyFill="1" applyBorder="1" applyAlignment="1">
      <alignment vertical="center"/>
    </xf>
    <xf numFmtId="164" fontId="6" fillId="24" borderId="59" xfId="0" applyNumberFormat="1" applyFont="1" applyFill="1" applyBorder="1" applyAlignment="1">
      <alignment vertical="center"/>
    </xf>
    <xf numFmtId="164" fontId="24" fillId="24" borderId="62" xfId="0" applyNumberFormat="1" applyFont="1" applyFill="1" applyBorder="1" applyAlignment="1">
      <alignment vertical="center"/>
    </xf>
    <xf numFmtId="164" fontId="24" fillId="26" borderId="18" xfId="0" applyNumberFormat="1" applyFont="1" applyFill="1" applyBorder="1" applyAlignment="1">
      <alignment vertical="center"/>
    </xf>
    <xf numFmtId="164" fontId="6" fillId="24" borderId="24" xfId="0" applyNumberFormat="1" applyFont="1" applyFill="1" applyBorder="1" applyAlignment="1">
      <alignment vertical="center"/>
    </xf>
    <xf numFmtId="164" fontId="6" fillId="23" borderId="24" xfId="0" applyNumberFormat="1" applyFont="1" applyFill="1" applyBorder="1" applyAlignment="1">
      <alignment vertical="center"/>
    </xf>
    <xf numFmtId="164" fontId="6" fillId="24" borderId="34" xfId="0" applyNumberFormat="1" applyFont="1" applyFill="1" applyBorder="1" applyAlignment="1">
      <alignment vertical="center"/>
    </xf>
    <xf numFmtId="164" fontId="6" fillId="24" borderId="35" xfId="0" applyNumberFormat="1" applyFont="1" applyFill="1" applyBorder="1" applyAlignment="1">
      <alignment vertical="center"/>
    </xf>
    <xf numFmtId="12" fontId="6" fillId="27" borderId="33" xfId="0" applyNumberFormat="1" applyFont="1" applyFill="1" applyBorder="1" applyAlignment="1">
      <alignment horizontal="center" vertical="center" wrapText="1"/>
    </xf>
    <xf numFmtId="164" fontId="6" fillId="24" borderId="39" xfId="0" applyNumberFormat="1" applyFont="1" applyFill="1" applyBorder="1" applyAlignment="1">
      <alignment vertical="center"/>
    </xf>
    <xf numFmtId="164" fontId="4" fillId="3" borderId="39" xfId="0" applyNumberFormat="1" applyFont="1" applyFill="1" applyBorder="1" applyAlignment="1">
      <alignment vertical="center"/>
    </xf>
    <xf numFmtId="164" fontId="8" fillId="0" borderId="34" xfId="0" applyNumberFormat="1" applyFont="1" applyBorder="1" applyAlignment="1">
      <alignment horizontal="right" vertical="center"/>
    </xf>
    <xf numFmtId="164" fontId="24" fillId="24" borderId="21" xfId="0" applyNumberFormat="1" applyFont="1" applyFill="1" applyBorder="1" applyAlignment="1">
      <alignment vertical="center"/>
    </xf>
    <xf numFmtId="164" fontId="24" fillId="24" borderId="50" xfId="0" applyNumberFormat="1" applyFont="1" applyFill="1" applyBorder="1" applyAlignment="1">
      <alignment vertical="center"/>
    </xf>
    <xf numFmtId="12" fontId="6" fillId="27" borderId="2" xfId="0" applyNumberFormat="1" applyFont="1" applyFill="1" applyBorder="1" applyAlignment="1">
      <alignment horizontal="center" vertical="center" wrapText="1"/>
    </xf>
    <xf numFmtId="164" fontId="6" fillId="24" borderId="44" xfId="0" applyNumberFormat="1" applyFont="1" applyFill="1" applyBorder="1" applyAlignment="1">
      <alignment vertical="center"/>
    </xf>
    <xf numFmtId="164" fontId="6" fillId="24" borderId="21" xfId="0" applyNumberFormat="1" applyFont="1" applyFill="1" applyBorder="1" applyAlignment="1">
      <alignment horizontal="center" vertical="center"/>
    </xf>
    <xf numFmtId="164" fontId="6" fillId="24" borderId="18" xfId="0" applyNumberFormat="1" applyFont="1" applyFill="1" applyBorder="1" applyAlignment="1">
      <alignment horizontal="center" vertical="center"/>
    </xf>
    <xf numFmtId="164" fontId="6" fillId="24" borderId="39" xfId="0" applyNumberFormat="1" applyFont="1" applyFill="1" applyBorder="1" applyAlignment="1">
      <alignment horizontal="center" vertical="center"/>
    </xf>
    <xf numFmtId="164" fontId="24" fillId="24" borderId="39" xfId="0" applyNumberFormat="1" applyFont="1" applyFill="1" applyBorder="1" applyAlignment="1">
      <alignment horizontal="center" vertical="center"/>
    </xf>
    <xf numFmtId="164" fontId="6" fillId="24" borderId="50" xfId="0" applyNumberFormat="1" applyFont="1" applyFill="1" applyBorder="1" applyAlignment="1">
      <alignment horizontal="center" vertical="center"/>
    </xf>
    <xf numFmtId="164" fontId="6" fillId="24" borderId="59" xfId="0" applyNumberFormat="1" applyFont="1" applyFill="1" applyBorder="1" applyAlignment="1">
      <alignment horizontal="center" vertical="center"/>
    </xf>
    <xf numFmtId="164" fontId="24" fillId="24" borderId="62" xfId="0" applyNumberFormat="1" applyFont="1" applyFill="1" applyBorder="1" applyAlignment="1">
      <alignment horizontal="center" vertical="center"/>
    </xf>
    <xf numFmtId="164" fontId="24" fillId="26" borderId="18" xfId="0" applyNumberFormat="1" applyFont="1" applyFill="1" applyBorder="1" applyAlignment="1">
      <alignment horizontal="center" vertical="center"/>
    </xf>
    <xf numFmtId="164" fontId="6" fillId="25" borderId="18" xfId="0" applyNumberFormat="1" applyFont="1" applyFill="1" applyBorder="1" applyAlignment="1">
      <alignment horizontal="center" vertical="center"/>
    </xf>
    <xf numFmtId="164" fontId="24" fillId="23" borderId="18" xfId="0" applyNumberFormat="1" applyFont="1" applyFill="1" applyBorder="1" applyAlignment="1">
      <alignment horizontal="center" vertical="center"/>
    </xf>
    <xf numFmtId="164" fontId="6" fillId="24" borderId="16" xfId="0" applyNumberFormat="1" applyFont="1" applyFill="1" applyBorder="1" applyAlignment="1">
      <alignment horizontal="center" vertical="center"/>
    </xf>
    <xf numFmtId="164" fontId="6" fillId="4" borderId="17" xfId="0" applyNumberFormat="1" applyFont="1" applyFill="1" applyBorder="1" applyAlignment="1">
      <alignment horizontal="center" vertical="center"/>
    </xf>
    <xf numFmtId="164" fontId="6" fillId="24" borderId="25" xfId="0" applyNumberFormat="1" applyFont="1" applyFill="1" applyBorder="1" applyAlignment="1">
      <alignment horizontal="center" vertical="center"/>
    </xf>
    <xf numFmtId="12" fontId="6" fillId="27" borderId="3" xfId="0" applyNumberFormat="1" applyFont="1" applyFill="1" applyBorder="1" applyAlignment="1">
      <alignment horizontal="center" vertical="center" wrapText="1"/>
    </xf>
    <xf numFmtId="164" fontId="6" fillId="24" borderId="43" xfId="0" applyNumberFormat="1" applyFont="1" applyFill="1" applyBorder="1" applyAlignment="1">
      <alignment vertical="center"/>
    </xf>
    <xf numFmtId="164" fontId="22" fillId="22" borderId="17" xfId="0" applyNumberFormat="1" applyFont="1" applyFill="1" applyBorder="1" applyAlignment="1">
      <alignment horizontal="left" vertical="center" indent="1"/>
    </xf>
    <xf numFmtId="164" fontId="4" fillId="22" borderId="17" xfId="0" applyNumberFormat="1" applyFont="1" applyFill="1" applyBorder="1" applyAlignment="1">
      <alignment horizontal="left" vertical="center" indent="1"/>
    </xf>
    <xf numFmtId="164" fontId="4" fillId="22" borderId="18" xfId="0" applyNumberFormat="1" applyFont="1" applyFill="1" applyBorder="1" applyAlignment="1">
      <alignment vertical="center"/>
    </xf>
    <xf numFmtId="0" fontId="17" fillId="16" borderId="66" xfId="0" applyFont="1" applyFill="1" applyBorder="1" applyAlignment="1">
      <alignment horizontal="center" vertical="center"/>
    </xf>
    <xf numFmtId="164" fontId="17" fillId="16" borderId="57" xfId="0" applyNumberFormat="1" applyFont="1" applyFill="1" applyBorder="1" applyAlignment="1">
      <alignment horizontal="center" vertical="center"/>
    </xf>
    <xf numFmtId="164" fontId="26" fillId="16" borderId="65" xfId="0" applyNumberFormat="1" applyFont="1" applyFill="1" applyBorder="1" applyAlignment="1">
      <alignment horizontal="center" vertical="center"/>
    </xf>
    <xf numFmtId="0" fontId="17" fillId="16" borderId="64" xfId="0" applyFont="1" applyFill="1" applyBorder="1" applyAlignment="1">
      <alignment horizontal="left" vertical="center"/>
    </xf>
    <xf numFmtId="164" fontId="17" fillId="16" borderId="67" xfId="0" applyNumberFormat="1" applyFont="1" applyFill="1" applyBorder="1" applyAlignment="1">
      <alignment horizontal="center" vertical="center"/>
    </xf>
    <xf numFmtId="0" fontId="18" fillId="0" borderId="64" xfId="0" applyFont="1" applyBorder="1" applyAlignment="1">
      <alignment horizontal="left" vertical="center" indent="1"/>
    </xf>
    <xf numFmtId="164" fontId="23" fillId="10" borderId="63" xfId="0" applyNumberFormat="1" applyFont="1" applyFill="1" applyBorder="1" applyAlignment="1">
      <alignment horizontal="center" vertical="center"/>
    </xf>
    <xf numFmtId="164" fontId="23" fillId="10" borderId="68" xfId="0" applyNumberFormat="1" applyFont="1" applyFill="1" applyBorder="1" applyAlignment="1">
      <alignment horizontal="center" vertical="center"/>
    </xf>
    <xf numFmtId="164" fontId="4" fillId="24" borderId="21" xfId="0" applyNumberFormat="1" applyFont="1" applyFill="1" applyBorder="1" applyAlignment="1">
      <alignment vertical="center"/>
    </xf>
    <xf numFmtId="164" fontId="4" fillId="24" borderId="39" xfId="0" applyNumberFormat="1" applyFont="1" applyFill="1" applyBorder="1" applyAlignment="1">
      <alignment vertical="center"/>
    </xf>
    <xf numFmtId="164" fontId="12" fillId="24" borderId="21" xfId="0" applyNumberFormat="1" applyFont="1" applyFill="1" applyBorder="1" applyAlignment="1">
      <alignment vertical="center"/>
    </xf>
    <xf numFmtId="164" fontId="4" fillId="24" borderId="50" xfId="0" applyNumberFormat="1" applyFont="1" applyFill="1" applyBorder="1" applyAlignment="1">
      <alignment vertical="center"/>
    </xf>
    <xf numFmtId="164" fontId="4" fillId="24" borderId="59" xfId="0" applyNumberFormat="1" applyFont="1" applyFill="1" applyBorder="1" applyAlignment="1">
      <alignment vertical="center"/>
    </xf>
    <xf numFmtId="164" fontId="12" fillId="24" borderId="50" xfId="0" applyNumberFormat="1" applyFont="1" applyFill="1" applyBorder="1" applyAlignment="1">
      <alignment vertical="center"/>
    </xf>
    <xf numFmtId="12" fontId="4" fillId="32" borderId="3" xfId="0" applyNumberFormat="1" applyFont="1" applyFill="1" applyBorder="1" applyAlignment="1">
      <alignment horizontal="center" vertical="center" wrapText="1"/>
    </xf>
    <xf numFmtId="164" fontId="22" fillId="31" borderId="18" xfId="0" applyNumberFormat="1" applyFont="1" applyFill="1" applyBorder="1" applyAlignment="1">
      <alignment horizontal="center" vertical="center"/>
    </xf>
    <xf numFmtId="164" fontId="21" fillId="28" borderId="18" xfId="0" applyNumberFormat="1" applyFont="1" applyFill="1" applyBorder="1" applyAlignment="1">
      <alignment horizontal="center" vertical="center"/>
    </xf>
    <xf numFmtId="164" fontId="13" fillId="28" borderId="18" xfId="0" applyNumberFormat="1" applyFont="1" applyFill="1" applyBorder="1" applyAlignment="1">
      <alignment horizontal="center" vertical="center"/>
    </xf>
    <xf numFmtId="164" fontId="12" fillId="28" borderId="18" xfId="0" applyNumberFormat="1" applyFont="1" applyFill="1" applyBorder="1" applyAlignment="1">
      <alignment horizontal="center" vertical="center"/>
    </xf>
    <xf numFmtId="164" fontId="12" fillId="30" borderId="18" xfId="0" applyNumberFormat="1" applyFont="1" applyFill="1" applyBorder="1" applyAlignment="1">
      <alignment horizontal="center" vertical="center"/>
    </xf>
    <xf numFmtId="164" fontId="6" fillId="31" borderId="18" xfId="0" applyNumberFormat="1" applyFont="1" applyFill="1" applyBorder="1" applyAlignment="1">
      <alignment horizontal="center" vertical="center"/>
    </xf>
    <xf numFmtId="164" fontId="4" fillId="31" borderId="18" xfId="0" applyNumberFormat="1" applyFont="1" applyFill="1" applyBorder="1" applyAlignment="1">
      <alignment horizontal="center" vertical="center"/>
    </xf>
    <xf numFmtId="164" fontId="12" fillId="33" borderId="18" xfId="0" applyNumberFormat="1" applyFont="1" applyFill="1" applyBorder="1" applyAlignment="1">
      <alignment horizontal="center" vertical="center"/>
    </xf>
    <xf numFmtId="0" fontId="23" fillId="17" borderId="70" xfId="0" applyFont="1" applyFill="1" applyBorder="1" applyAlignment="1">
      <alignment horizontal="center" vertical="center"/>
    </xf>
    <xf numFmtId="164" fontId="23" fillId="17" borderId="71" xfId="0" applyNumberFormat="1" applyFont="1" applyFill="1" applyBorder="1" applyAlignment="1">
      <alignment horizontal="center" vertical="center"/>
    </xf>
    <xf numFmtId="164" fontId="23" fillId="17" borderId="72" xfId="0" applyNumberFormat="1" applyFont="1" applyFill="1" applyBorder="1" applyAlignment="1">
      <alignment horizontal="center" vertical="center"/>
    </xf>
    <xf numFmtId="164" fontId="18" fillId="0" borderId="69" xfId="0" applyNumberFormat="1" applyFont="1" applyBorder="1" applyAlignment="1">
      <alignment horizontal="center" vertical="center"/>
    </xf>
    <xf numFmtId="0" fontId="0" fillId="17" borderId="57" xfId="0" applyFill="1" applyBorder="1" applyAlignment="1">
      <alignment horizontal="center" vertical="center"/>
    </xf>
    <xf numFmtId="0" fontId="18" fillId="17" borderId="57" xfId="0" applyFont="1" applyFill="1" applyBorder="1" applyAlignment="1">
      <alignment horizontal="center" vertical="center"/>
    </xf>
    <xf numFmtId="0" fontId="18" fillId="17" borderId="65" xfId="0" applyFont="1" applyFill="1" applyBorder="1" applyAlignment="1">
      <alignment horizontal="center" vertical="center"/>
    </xf>
    <xf numFmtId="164" fontId="27" fillId="35" borderId="69" xfId="0" applyNumberFormat="1" applyFont="1" applyFill="1" applyBorder="1" applyAlignment="1">
      <alignment horizontal="center" vertical="center"/>
    </xf>
    <xf numFmtId="164" fontId="27" fillId="35" borderId="52" xfId="0" applyNumberFormat="1" applyFont="1" applyFill="1" applyBorder="1" applyAlignment="1">
      <alignment horizontal="center" vertical="center"/>
    </xf>
    <xf numFmtId="164" fontId="18" fillId="0" borderId="52" xfId="0" applyNumberFormat="1" applyFont="1" applyBorder="1" applyAlignment="1">
      <alignment horizontal="center" vertical="center"/>
    </xf>
    <xf numFmtId="164" fontId="17" fillId="36" borderId="52" xfId="0" applyNumberFormat="1" applyFont="1" applyFill="1" applyBorder="1" applyAlignment="1">
      <alignment horizontal="center" vertical="center"/>
    </xf>
    <xf numFmtId="164" fontId="17" fillId="36" borderId="74" xfId="0" applyNumberFormat="1" applyFont="1" applyFill="1" applyBorder="1" applyAlignment="1">
      <alignment horizontal="center" vertical="center"/>
    </xf>
    <xf numFmtId="164" fontId="17" fillId="17" borderId="52" xfId="0" applyNumberFormat="1" applyFont="1" applyFill="1" applyBorder="1" applyAlignment="1">
      <alignment horizontal="center" vertical="center"/>
    </xf>
    <xf numFmtId="165" fontId="19" fillId="36" borderId="69" xfId="0" applyNumberFormat="1" applyFont="1" applyFill="1" applyBorder="1" applyAlignment="1">
      <alignment horizontal="center" vertical="center"/>
    </xf>
    <xf numFmtId="165" fontId="19" fillId="36" borderId="73" xfId="0" applyNumberFormat="1" applyFont="1" applyFill="1" applyBorder="1" applyAlignment="1">
      <alignment horizontal="center" vertical="center"/>
    </xf>
    <xf numFmtId="164" fontId="24" fillId="24" borderId="21" xfId="0" applyNumberFormat="1" applyFont="1" applyFill="1" applyBorder="1" applyAlignment="1">
      <alignment horizontal="center" vertical="center"/>
    </xf>
    <xf numFmtId="164" fontId="24" fillId="24" borderId="50" xfId="0" applyNumberFormat="1" applyFont="1" applyFill="1" applyBorder="1" applyAlignment="1">
      <alignment horizontal="center" vertical="center"/>
    </xf>
    <xf numFmtId="164" fontId="6" fillId="23" borderId="24" xfId="0" applyNumberFormat="1" applyFont="1" applyFill="1" applyBorder="1" applyAlignment="1">
      <alignment horizontal="center" vertical="center"/>
    </xf>
    <xf numFmtId="164" fontId="24" fillId="24" borderId="18" xfId="0" applyNumberFormat="1" applyFont="1" applyFill="1" applyBorder="1" applyAlignment="1">
      <alignment horizontal="center" vertical="center"/>
    </xf>
    <xf numFmtId="164" fontId="12" fillId="2" borderId="18" xfId="0" applyNumberFormat="1" applyFont="1" applyFill="1" applyBorder="1" applyAlignment="1">
      <alignment horizontal="right" vertical="center"/>
    </xf>
    <xf numFmtId="164" fontId="6" fillId="6" borderId="18" xfId="0" applyNumberFormat="1" applyFont="1" applyFill="1" applyBorder="1" applyAlignment="1">
      <alignment horizontal="right" vertical="center"/>
    </xf>
    <xf numFmtId="164" fontId="22" fillId="22" borderId="18" xfId="0" applyNumberFormat="1" applyFont="1" applyFill="1" applyBorder="1" applyAlignment="1">
      <alignment horizontal="right" vertical="center"/>
    </xf>
    <xf numFmtId="164" fontId="4" fillId="3" borderId="18" xfId="0" applyNumberFormat="1" applyFont="1" applyFill="1" applyBorder="1" applyAlignment="1">
      <alignment horizontal="right" vertical="center"/>
    </xf>
    <xf numFmtId="164" fontId="12" fillId="2" borderId="24" xfId="0" applyNumberFormat="1" applyFont="1" applyFill="1" applyBorder="1" applyAlignment="1">
      <alignment horizontal="right" vertical="center"/>
    </xf>
    <xf numFmtId="164" fontId="12" fillId="3" borderId="18" xfId="0" applyNumberFormat="1" applyFont="1" applyFill="1" applyBorder="1" applyAlignment="1">
      <alignment horizontal="right" vertical="center"/>
    </xf>
    <xf numFmtId="164" fontId="12" fillId="18" borderId="18" xfId="0" applyNumberFormat="1" applyFont="1" applyFill="1" applyBorder="1" applyAlignment="1">
      <alignment horizontal="right" vertical="center"/>
    </xf>
    <xf numFmtId="164" fontId="4" fillId="3" borderId="16" xfId="0" applyNumberFormat="1" applyFont="1" applyFill="1" applyBorder="1" applyAlignment="1">
      <alignment horizontal="right" vertical="center"/>
    </xf>
    <xf numFmtId="164" fontId="4" fillId="4" borderId="17" xfId="0" applyNumberFormat="1" applyFont="1" applyFill="1" applyBorder="1" applyAlignment="1">
      <alignment horizontal="right" vertical="center"/>
    </xf>
    <xf numFmtId="164" fontId="13" fillId="2" borderId="18" xfId="0" applyNumberFormat="1" applyFont="1" applyFill="1" applyBorder="1" applyAlignment="1">
      <alignment horizontal="right" vertical="center"/>
    </xf>
    <xf numFmtId="164" fontId="12" fillId="8" borderId="18" xfId="0" applyNumberFormat="1" applyFont="1" applyFill="1" applyBorder="1" applyAlignment="1">
      <alignment horizontal="right" vertical="center"/>
    </xf>
    <xf numFmtId="164" fontId="4" fillId="22" borderId="18" xfId="0" applyNumberFormat="1" applyFont="1" applyFill="1" applyBorder="1" applyAlignment="1">
      <alignment horizontal="right" vertical="center"/>
    </xf>
    <xf numFmtId="164" fontId="6" fillId="23" borderId="18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25" fillId="0" borderId="42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164" fontId="6" fillId="24" borderId="60" xfId="0" applyNumberFormat="1" applyFont="1" applyFill="1" applyBorder="1" applyAlignment="1">
      <alignment vertical="center"/>
    </xf>
    <xf numFmtId="164" fontId="11" fillId="0" borderId="34" xfId="0" applyNumberFormat="1" applyFont="1" applyBorder="1" applyAlignment="1">
      <alignment horizontal="right" vertical="center"/>
    </xf>
    <xf numFmtId="164" fontId="12" fillId="3" borderId="75" xfId="0" applyNumberFormat="1" applyFont="1" applyFill="1" applyBorder="1" applyAlignment="1">
      <alignment vertical="center"/>
    </xf>
    <xf numFmtId="164" fontId="6" fillId="12" borderId="21" xfId="0" applyNumberFormat="1" applyFont="1" applyFill="1" applyBorder="1" applyAlignment="1">
      <alignment vertical="center"/>
    </xf>
    <xf numFmtId="164" fontId="6" fillId="12" borderId="39" xfId="0" applyNumberFormat="1" applyFont="1" applyFill="1" applyBorder="1" applyAlignment="1">
      <alignment vertical="center"/>
    </xf>
    <xf numFmtId="164" fontId="6" fillId="12" borderId="50" xfId="0" applyNumberFormat="1" applyFont="1" applyFill="1" applyBorder="1" applyAlignment="1">
      <alignment vertical="center"/>
    </xf>
    <xf numFmtId="164" fontId="6" fillId="12" borderId="37" xfId="0" applyNumberFormat="1" applyFont="1" applyFill="1" applyBorder="1" applyAlignment="1">
      <alignment vertical="center"/>
    </xf>
    <xf numFmtId="164" fontId="24" fillId="12" borderId="32" xfId="0" applyNumberFormat="1" applyFont="1" applyFill="1" applyBorder="1" applyAlignment="1">
      <alignment vertical="center"/>
    </xf>
    <xf numFmtId="164" fontId="6" fillId="13" borderId="18" xfId="0" applyNumberFormat="1" applyFont="1" applyFill="1" applyBorder="1" applyAlignment="1">
      <alignment vertical="center"/>
    </xf>
    <xf numFmtId="164" fontId="24" fillId="11" borderId="18" xfId="0" applyNumberFormat="1" applyFont="1" applyFill="1" applyBorder="1" applyAlignment="1">
      <alignment vertical="center"/>
    </xf>
    <xf numFmtId="164" fontId="6" fillId="12" borderId="18" xfId="0" applyNumberFormat="1" applyFont="1" applyFill="1" applyBorder="1" applyAlignment="1">
      <alignment vertical="center"/>
    </xf>
    <xf numFmtId="164" fontId="24" fillId="14" borderId="18" xfId="0" applyNumberFormat="1" applyFont="1" applyFill="1" applyBorder="1" applyAlignment="1">
      <alignment vertical="center"/>
    </xf>
    <xf numFmtId="164" fontId="24" fillId="14" borderId="24" xfId="0" applyNumberFormat="1" applyFont="1" applyFill="1" applyBorder="1" applyAlignment="1">
      <alignment vertical="center"/>
    </xf>
    <xf numFmtId="164" fontId="24" fillId="12" borderId="18" xfId="0" applyNumberFormat="1" applyFont="1" applyFill="1" applyBorder="1" applyAlignment="1">
      <alignment vertical="center"/>
    </xf>
    <xf numFmtId="164" fontId="24" fillId="15" borderId="18" xfId="0" applyNumberFormat="1" applyFont="1" applyFill="1" applyBorder="1" applyAlignment="1">
      <alignment vertical="center"/>
    </xf>
    <xf numFmtId="164" fontId="6" fillId="12" borderId="16" xfId="0" applyNumberFormat="1" applyFont="1" applyFill="1" applyBorder="1" applyAlignment="1">
      <alignment vertical="center"/>
    </xf>
    <xf numFmtId="164" fontId="6" fillId="21" borderId="17" xfId="0" applyNumberFormat="1" applyFont="1" applyFill="1" applyBorder="1" applyAlignment="1">
      <alignment vertical="center"/>
    </xf>
    <xf numFmtId="164" fontId="24" fillId="14" borderId="18" xfId="0" applyNumberFormat="1" applyFont="1" applyFill="1" applyBorder="1" applyAlignment="1">
      <alignment horizontal="right" vertical="center"/>
    </xf>
    <xf numFmtId="164" fontId="6" fillId="12" borderId="25" xfId="0" applyNumberFormat="1" applyFont="1" applyFill="1" applyBorder="1" applyAlignment="1">
      <alignment vertical="center"/>
    </xf>
    <xf numFmtId="12" fontId="6" fillId="14" borderId="2" xfId="0" applyNumberFormat="1" applyFont="1" applyFill="1" applyBorder="1" applyAlignment="1">
      <alignment horizontal="center" vertical="center" wrapText="1"/>
    </xf>
    <xf numFmtId="164" fontId="12" fillId="40" borderId="18" xfId="0" applyNumberFormat="1" applyFont="1" applyFill="1" applyBorder="1" applyAlignment="1">
      <alignment vertical="center"/>
    </xf>
    <xf numFmtId="164" fontId="6" fillId="24" borderId="37" xfId="0" applyNumberFormat="1" applyFont="1" applyFill="1" applyBorder="1" applyAlignment="1">
      <alignment vertical="center"/>
    </xf>
    <xf numFmtId="164" fontId="24" fillId="24" borderId="32" xfId="0" applyNumberFormat="1" applyFont="1" applyFill="1" applyBorder="1" applyAlignment="1">
      <alignment vertical="center"/>
    </xf>
    <xf numFmtId="164" fontId="24" fillId="23" borderId="24" xfId="0" applyNumberFormat="1" applyFont="1" applyFill="1" applyBorder="1" applyAlignment="1">
      <alignment vertical="center"/>
    </xf>
    <xf numFmtId="164" fontId="24" fillId="41" borderId="18" xfId="0" applyNumberFormat="1" applyFont="1" applyFill="1" applyBorder="1" applyAlignment="1">
      <alignment vertical="center"/>
    </xf>
    <xf numFmtId="164" fontId="24" fillId="23" borderId="18" xfId="0" applyNumberFormat="1" applyFont="1" applyFill="1" applyBorder="1" applyAlignment="1">
      <alignment horizontal="right" vertical="center"/>
    </xf>
    <xf numFmtId="164" fontId="6" fillId="12" borderId="24" xfId="0" applyNumberFormat="1" applyFont="1" applyFill="1" applyBorder="1" applyAlignment="1">
      <alignment vertical="center"/>
    </xf>
    <xf numFmtId="164" fontId="24" fillId="12" borderId="24" xfId="0" applyNumberFormat="1" applyFont="1" applyFill="1" applyBorder="1" applyAlignment="1">
      <alignment vertical="center"/>
    </xf>
    <xf numFmtId="164" fontId="6" fillId="12" borderId="34" xfId="0" applyNumberFormat="1" applyFont="1" applyFill="1" applyBorder="1" applyAlignment="1">
      <alignment vertical="center"/>
    </xf>
    <xf numFmtId="164" fontId="6" fillId="24" borderId="19" xfId="0" applyNumberFormat="1" applyFont="1" applyFill="1" applyBorder="1" applyAlignment="1">
      <alignment vertical="center"/>
    </xf>
    <xf numFmtId="164" fontId="4" fillId="2" borderId="42" xfId="0" applyNumberFormat="1" applyFont="1" applyFill="1" applyBorder="1" applyAlignment="1">
      <alignment horizontal="left" vertical="center" indent="1"/>
    </xf>
    <xf numFmtId="164" fontId="21" fillId="42" borderId="18" xfId="0" applyNumberFormat="1" applyFont="1" applyFill="1" applyBorder="1" applyAlignment="1">
      <alignment vertical="center"/>
    </xf>
    <xf numFmtId="164" fontId="21" fillId="14" borderId="18" xfId="0" applyNumberFormat="1" applyFont="1" applyFill="1" applyBorder="1" applyAlignment="1">
      <alignment vertical="center"/>
    </xf>
    <xf numFmtId="164" fontId="21" fillId="40" borderId="18" xfId="0" applyNumberFormat="1" applyFont="1" applyFill="1" applyBorder="1" applyAlignment="1">
      <alignment vertical="center"/>
    </xf>
    <xf numFmtId="164" fontId="21" fillId="23" borderId="18" xfId="0" applyNumberFormat="1" applyFont="1" applyFill="1" applyBorder="1" applyAlignment="1">
      <alignment vertical="center"/>
    </xf>
    <xf numFmtId="0" fontId="9" fillId="0" borderId="11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0" fillId="0" borderId="0" xfId="0" applyAlignment="1">
      <alignment horizontal="center"/>
    </xf>
    <xf numFmtId="0" fontId="29" fillId="9" borderId="0" xfId="0" applyFont="1" applyFill="1" applyAlignment="1">
      <alignment vertical="center"/>
    </xf>
    <xf numFmtId="0" fontId="28" fillId="37" borderId="48" xfId="0" applyFont="1" applyFill="1" applyBorder="1" applyAlignment="1">
      <alignment vertical="center"/>
    </xf>
    <xf numFmtId="0" fontId="28" fillId="37" borderId="24" xfId="0" applyFont="1" applyFill="1" applyBorder="1" applyAlignment="1">
      <alignment vertical="center"/>
    </xf>
    <xf numFmtId="0" fontId="29" fillId="9" borderId="24" xfId="0" applyFont="1" applyFill="1" applyBorder="1" applyAlignment="1">
      <alignment vertical="center"/>
    </xf>
    <xf numFmtId="164" fontId="11" fillId="0" borderId="79" xfId="0" applyNumberFormat="1" applyFont="1" applyBorder="1" applyAlignment="1">
      <alignment horizontal="right" vertical="center"/>
    </xf>
    <xf numFmtId="0" fontId="0" fillId="0" borderId="42" xfId="0" applyBorder="1" applyAlignment="1">
      <alignment vertical="center"/>
    </xf>
    <xf numFmtId="164" fontId="4" fillId="3" borderId="80" xfId="0" applyNumberFormat="1" applyFont="1" applyFill="1" applyBorder="1" applyAlignment="1">
      <alignment horizontal="left" vertical="center" indent="1"/>
    </xf>
    <xf numFmtId="164" fontId="6" fillId="12" borderId="81" xfId="0" applyNumberFormat="1" applyFont="1" applyFill="1" applyBorder="1" applyAlignment="1">
      <alignment vertical="center"/>
    </xf>
    <xf numFmtId="164" fontId="6" fillId="24" borderId="81" xfId="0" applyNumberFormat="1" applyFont="1" applyFill="1" applyBorder="1" applyAlignment="1">
      <alignment vertical="center"/>
    </xf>
    <xf numFmtId="164" fontId="4" fillId="3" borderId="81" xfId="0" applyNumberFormat="1" applyFont="1" applyFill="1" applyBorder="1" applyAlignment="1">
      <alignment vertical="center"/>
    </xf>
    <xf numFmtId="164" fontId="11" fillId="0" borderId="14" xfId="0" applyNumberFormat="1" applyFont="1" applyBorder="1" applyAlignment="1">
      <alignment horizontal="right" vertical="center"/>
    </xf>
    <xf numFmtId="164" fontId="4" fillId="3" borderId="18" xfId="0" applyNumberFormat="1" applyFont="1" applyFill="1" applyBorder="1" applyAlignment="1">
      <alignment horizontal="left" vertical="center" indent="1"/>
    </xf>
    <xf numFmtId="0" fontId="0" fillId="0" borderId="22" xfId="0" applyBorder="1" applyAlignment="1">
      <alignment vertical="center"/>
    </xf>
    <xf numFmtId="164" fontId="4" fillId="3" borderId="83" xfId="0" applyNumberFormat="1" applyFont="1" applyFill="1" applyBorder="1" applyAlignment="1">
      <alignment vertical="center"/>
    </xf>
    <xf numFmtId="164" fontId="4" fillId="3" borderId="19" xfId="0" applyNumberFormat="1" applyFont="1" applyFill="1" applyBorder="1" applyAlignment="1">
      <alignment vertical="center"/>
    </xf>
    <xf numFmtId="164" fontId="6" fillId="24" borderId="75" xfId="0" applyNumberFormat="1" applyFont="1" applyFill="1" applyBorder="1" applyAlignment="1">
      <alignment vertical="center"/>
    </xf>
    <xf numFmtId="12" fontId="6" fillId="38" borderId="3" xfId="0" applyNumberFormat="1" applyFont="1" applyFill="1" applyBorder="1" applyAlignment="1">
      <alignment horizontal="center" vertical="center" wrapText="1"/>
    </xf>
    <xf numFmtId="164" fontId="24" fillId="43" borderId="18" xfId="0" applyNumberFormat="1" applyFont="1" applyFill="1" applyBorder="1" applyAlignment="1">
      <alignment vertical="center"/>
    </xf>
    <xf numFmtId="164" fontId="6" fillId="43" borderId="18" xfId="0" applyNumberFormat="1" applyFont="1" applyFill="1" applyBorder="1" applyAlignment="1">
      <alignment vertical="center"/>
    </xf>
    <xf numFmtId="164" fontId="24" fillId="17" borderId="24" xfId="0" applyNumberFormat="1" applyFont="1" applyFill="1" applyBorder="1" applyAlignment="1">
      <alignment vertical="center"/>
    </xf>
    <xf numFmtId="164" fontId="4" fillId="12" borderId="21" xfId="0" applyNumberFormat="1" applyFont="1" applyFill="1" applyBorder="1" applyAlignment="1">
      <alignment vertical="center"/>
    </xf>
    <xf numFmtId="164" fontId="4" fillId="43" borderId="39" xfId="0" applyNumberFormat="1" applyFont="1" applyFill="1" applyBorder="1" applyAlignment="1">
      <alignment vertical="center"/>
    </xf>
    <xf numFmtId="164" fontId="12" fillId="43" borderId="39" xfId="0" applyNumberFormat="1" applyFont="1" applyFill="1" applyBorder="1" applyAlignment="1">
      <alignment vertical="center"/>
    </xf>
    <xf numFmtId="164" fontId="12" fillId="43" borderId="38" xfId="0" applyNumberFormat="1" applyFont="1" applyFill="1" applyBorder="1" applyAlignment="1">
      <alignment vertical="center"/>
    </xf>
    <xf numFmtId="164" fontId="12" fillId="43" borderId="18" xfId="0" applyNumberFormat="1" applyFont="1" applyFill="1" applyBorder="1" applyAlignment="1">
      <alignment vertical="center"/>
    </xf>
    <xf numFmtId="164" fontId="4" fillId="43" borderId="50" xfId="0" applyNumberFormat="1" applyFont="1" applyFill="1" applyBorder="1" applyAlignment="1">
      <alignment vertical="center"/>
    </xf>
    <xf numFmtId="164" fontId="4" fillId="43" borderId="63" xfId="0" applyNumberFormat="1" applyFont="1" applyFill="1" applyBorder="1" applyAlignment="1">
      <alignment vertical="center"/>
    </xf>
    <xf numFmtId="164" fontId="12" fillId="43" borderId="62" xfId="0" applyNumberFormat="1" applyFont="1" applyFill="1" applyBorder="1" applyAlignment="1">
      <alignment vertical="center"/>
    </xf>
    <xf numFmtId="164" fontId="6" fillId="43" borderId="16" xfId="0" applyNumberFormat="1" applyFont="1" applyFill="1" applyBorder="1" applyAlignment="1">
      <alignment vertical="center"/>
    </xf>
    <xf numFmtId="164" fontId="6" fillId="43" borderId="17" xfId="0" applyNumberFormat="1" applyFont="1" applyFill="1" applyBorder="1" applyAlignment="1">
      <alignment vertical="center"/>
    </xf>
    <xf numFmtId="164" fontId="6" fillId="43" borderId="25" xfId="0" applyNumberFormat="1" applyFont="1" applyFill="1" applyBorder="1" applyAlignment="1">
      <alignment vertical="center"/>
    </xf>
    <xf numFmtId="12" fontId="6" fillId="44" borderId="3" xfId="0" applyNumberFormat="1" applyFont="1" applyFill="1" applyBorder="1" applyAlignment="1">
      <alignment horizontal="center" vertical="center" wrapText="1"/>
    </xf>
    <xf numFmtId="164" fontId="24" fillId="45" borderId="18" xfId="0" applyNumberFormat="1" applyFont="1" applyFill="1" applyBorder="1" applyAlignment="1">
      <alignment vertical="center"/>
    </xf>
    <xf numFmtId="164" fontId="6" fillId="46" borderId="18" xfId="0" applyNumberFormat="1" applyFont="1" applyFill="1" applyBorder="1" applyAlignment="1">
      <alignment vertical="center"/>
    </xf>
    <xf numFmtId="164" fontId="6" fillId="47" borderId="18" xfId="0" applyNumberFormat="1" applyFont="1" applyFill="1" applyBorder="1" applyAlignment="1">
      <alignment vertical="center"/>
    </xf>
    <xf numFmtId="164" fontId="6" fillId="48" borderId="18" xfId="0" applyNumberFormat="1" applyFont="1" applyFill="1" applyBorder="1" applyAlignment="1">
      <alignment vertical="center"/>
    </xf>
    <xf numFmtId="164" fontId="24" fillId="49" borderId="18" xfId="0" applyNumberFormat="1" applyFont="1" applyFill="1" applyBorder="1" applyAlignment="1">
      <alignment vertical="center"/>
    </xf>
    <xf numFmtId="164" fontId="24" fillId="49" borderId="24" xfId="0" applyNumberFormat="1" applyFont="1" applyFill="1" applyBorder="1" applyAlignment="1">
      <alignment vertical="center"/>
    </xf>
    <xf numFmtId="164" fontId="24" fillId="46" borderId="18" xfId="0" applyNumberFormat="1" applyFont="1" applyFill="1" applyBorder="1" applyAlignment="1">
      <alignment vertical="center"/>
    </xf>
    <xf numFmtId="164" fontId="24" fillId="50" borderId="18" xfId="0" applyNumberFormat="1" applyFont="1" applyFill="1" applyBorder="1" applyAlignment="1">
      <alignment vertical="center"/>
    </xf>
    <xf numFmtId="164" fontId="6" fillId="46" borderId="16" xfId="0" applyNumberFormat="1" applyFont="1" applyFill="1" applyBorder="1" applyAlignment="1">
      <alignment vertical="center"/>
    </xf>
    <xf numFmtId="164" fontId="6" fillId="51" borderId="17" xfId="0" applyNumberFormat="1" applyFont="1" applyFill="1" applyBorder="1" applyAlignment="1">
      <alignment vertical="center"/>
    </xf>
    <xf numFmtId="164" fontId="24" fillId="49" borderId="18" xfId="0" applyNumberFormat="1" applyFont="1" applyFill="1" applyBorder="1" applyAlignment="1">
      <alignment horizontal="right" vertical="center"/>
    </xf>
    <xf numFmtId="164" fontId="6" fillId="46" borderId="21" xfId="0" applyNumberFormat="1" applyFont="1" applyFill="1" applyBorder="1" applyAlignment="1">
      <alignment vertical="center"/>
    </xf>
    <xf numFmtId="164" fontId="6" fillId="46" borderId="39" xfId="0" applyNumberFormat="1" applyFont="1" applyFill="1" applyBorder="1" applyAlignment="1">
      <alignment vertical="center"/>
    </xf>
    <xf numFmtId="164" fontId="24" fillId="46" borderId="21" xfId="0" applyNumberFormat="1" applyFont="1" applyFill="1" applyBorder="1" applyAlignment="1">
      <alignment vertical="center"/>
    </xf>
    <xf numFmtId="164" fontId="24" fillId="46" borderId="50" xfId="0" applyNumberFormat="1" applyFont="1" applyFill="1" applyBorder="1" applyAlignment="1">
      <alignment vertical="center"/>
    </xf>
    <xf numFmtId="164" fontId="6" fillId="46" borderId="81" xfId="0" applyNumberFormat="1" applyFont="1" applyFill="1" applyBorder="1" applyAlignment="1">
      <alignment vertical="center"/>
    </xf>
    <xf numFmtId="164" fontId="6" fillId="46" borderId="76" xfId="0" applyNumberFormat="1" applyFont="1" applyFill="1" applyBorder="1" applyAlignment="1">
      <alignment vertical="center"/>
    </xf>
    <xf numFmtId="164" fontId="24" fillId="46" borderId="38" xfId="0" applyNumberFormat="1" applyFont="1" applyFill="1" applyBorder="1" applyAlignment="1">
      <alignment vertical="center"/>
    </xf>
    <xf numFmtId="164" fontId="24" fillId="48" borderId="18" xfId="0" applyNumberFormat="1" applyFont="1" applyFill="1" applyBorder="1" applyAlignment="1">
      <alignment vertical="center"/>
    </xf>
    <xf numFmtId="164" fontId="6" fillId="46" borderId="25" xfId="0" applyNumberFormat="1" applyFont="1" applyFill="1" applyBorder="1" applyAlignment="1">
      <alignment vertical="center"/>
    </xf>
    <xf numFmtId="164" fontId="24" fillId="24" borderId="38" xfId="0" applyNumberFormat="1" applyFont="1" applyFill="1" applyBorder="1" applyAlignment="1">
      <alignment vertical="center"/>
    </xf>
    <xf numFmtId="164" fontId="30" fillId="46" borderId="21" xfId="0" applyNumberFormat="1" applyFont="1" applyFill="1" applyBorder="1" applyAlignment="1">
      <alignment vertical="center"/>
    </xf>
    <xf numFmtId="164" fontId="30" fillId="46" borderId="21" xfId="0" applyNumberFormat="1" applyFont="1" applyFill="1" applyBorder="1" applyAlignment="1">
      <alignment horizontal="center" vertical="center"/>
    </xf>
    <xf numFmtId="164" fontId="30" fillId="46" borderId="39" xfId="0" applyNumberFormat="1" applyFont="1" applyFill="1" applyBorder="1" applyAlignment="1">
      <alignment vertical="center"/>
    </xf>
    <xf numFmtId="164" fontId="30" fillId="46" borderId="39" xfId="0" applyNumberFormat="1" applyFont="1" applyFill="1" applyBorder="1" applyAlignment="1">
      <alignment horizontal="center" vertical="center"/>
    </xf>
    <xf numFmtId="164" fontId="30" fillId="46" borderId="21" xfId="0" applyNumberFormat="1" applyFont="1" applyFill="1" applyBorder="1" applyAlignment="1">
      <alignment horizontal="center"/>
    </xf>
    <xf numFmtId="164" fontId="30" fillId="46" borderId="50" xfId="0" applyNumberFormat="1" applyFont="1" applyFill="1" applyBorder="1" applyAlignment="1">
      <alignment vertical="center"/>
    </xf>
    <xf numFmtId="164" fontId="30" fillId="46" borderId="50" xfId="0" applyNumberFormat="1" applyFont="1" applyFill="1" applyBorder="1" applyAlignment="1">
      <alignment horizontal="center"/>
    </xf>
    <xf numFmtId="164" fontId="30" fillId="46" borderId="18" xfId="0" applyNumberFormat="1" applyFont="1" applyFill="1" applyBorder="1" applyAlignment="1">
      <alignment vertical="center"/>
    </xf>
    <xf numFmtId="164" fontId="30" fillId="46" borderId="18" xfId="0" applyNumberFormat="1" applyFont="1" applyFill="1" applyBorder="1" applyAlignment="1">
      <alignment horizontal="center"/>
    </xf>
    <xf numFmtId="164" fontId="30" fillId="46" borderId="81" xfId="0" applyNumberFormat="1" applyFont="1" applyFill="1" applyBorder="1" applyAlignment="1">
      <alignment vertical="center"/>
    </xf>
    <xf numFmtId="164" fontId="30" fillId="46" borderId="81" xfId="0" applyNumberFormat="1" applyFont="1" applyFill="1" applyBorder="1" applyAlignment="1">
      <alignment horizontal="center"/>
    </xf>
    <xf numFmtId="164" fontId="30" fillId="46" borderId="37" xfId="0" applyNumberFormat="1" applyFont="1" applyFill="1" applyBorder="1" applyAlignment="1">
      <alignment vertical="center"/>
    </xf>
    <xf numFmtId="164" fontId="30" fillId="46" borderId="37" xfId="0" applyNumberFormat="1" applyFont="1" applyFill="1" applyBorder="1" applyAlignment="1">
      <alignment horizontal="center"/>
    </xf>
    <xf numFmtId="164" fontId="30" fillId="46" borderId="38" xfId="0" applyNumberFormat="1" applyFont="1" applyFill="1" applyBorder="1" applyAlignment="1">
      <alignment vertical="center"/>
    </xf>
    <xf numFmtId="164" fontId="30" fillId="46" borderId="38" xfId="0" applyNumberFormat="1" applyFont="1" applyFill="1" applyBorder="1" applyAlignment="1">
      <alignment horizontal="center"/>
    </xf>
    <xf numFmtId="164" fontId="31" fillId="45" borderId="18" xfId="0" applyNumberFormat="1" applyFont="1" applyFill="1" applyBorder="1" applyAlignment="1">
      <alignment vertical="center"/>
    </xf>
    <xf numFmtId="164" fontId="31" fillId="45" borderId="18" xfId="0" applyNumberFormat="1" applyFont="1" applyFill="1" applyBorder="1" applyAlignment="1">
      <alignment horizontal="center"/>
    </xf>
    <xf numFmtId="164" fontId="30" fillId="47" borderId="18" xfId="0" applyNumberFormat="1" applyFont="1" applyFill="1" applyBorder="1" applyAlignment="1">
      <alignment vertical="center"/>
    </xf>
    <xf numFmtId="164" fontId="30" fillId="47" borderId="18" xfId="0" applyNumberFormat="1" applyFont="1" applyFill="1" applyBorder="1" applyAlignment="1">
      <alignment horizontal="center"/>
    </xf>
    <xf numFmtId="164" fontId="30" fillId="48" borderId="18" xfId="0" applyNumberFormat="1" applyFont="1" applyFill="1" applyBorder="1" applyAlignment="1">
      <alignment vertical="center"/>
    </xf>
    <xf numFmtId="164" fontId="31" fillId="49" borderId="18" xfId="0" applyNumberFormat="1" applyFont="1" applyFill="1" applyBorder="1" applyAlignment="1">
      <alignment vertical="center"/>
    </xf>
    <xf numFmtId="164" fontId="31" fillId="49" borderId="18" xfId="0" applyNumberFormat="1" applyFont="1" applyFill="1" applyBorder="1" applyAlignment="1">
      <alignment horizontal="center"/>
    </xf>
    <xf numFmtId="164" fontId="31" fillId="49" borderId="24" xfId="0" applyNumberFormat="1" applyFont="1" applyFill="1" applyBorder="1" applyAlignment="1">
      <alignment vertical="center"/>
    </xf>
    <xf numFmtId="164" fontId="31" fillId="49" borderId="24" xfId="0" applyNumberFormat="1" applyFont="1" applyFill="1" applyBorder="1" applyAlignment="1">
      <alignment horizontal="center"/>
    </xf>
    <xf numFmtId="164" fontId="31" fillId="49" borderId="18" xfId="0" applyNumberFormat="1" applyFont="1" applyFill="1" applyBorder="1" applyAlignment="1">
      <alignment horizontal="center" vertical="center"/>
    </xf>
    <xf numFmtId="164" fontId="31" fillId="46" borderId="18" xfId="0" applyNumberFormat="1" applyFont="1" applyFill="1" applyBorder="1" applyAlignment="1">
      <alignment vertical="center"/>
    </xf>
    <xf numFmtId="164" fontId="31" fillId="46" borderId="18" xfId="0" applyNumberFormat="1" applyFont="1" applyFill="1" applyBorder="1" applyAlignment="1">
      <alignment horizontal="center" vertical="center"/>
    </xf>
    <xf numFmtId="164" fontId="31" fillId="50" borderId="18" xfId="0" applyNumberFormat="1" applyFont="1" applyFill="1" applyBorder="1" applyAlignment="1">
      <alignment vertical="center"/>
    </xf>
    <xf numFmtId="164" fontId="31" fillId="50" borderId="18" xfId="0" applyNumberFormat="1" applyFont="1" applyFill="1" applyBorder="1" applyAlignment="1">
      <alignment horizontal="center" vertical="center"/>
    </xf>
    <xf numFmtId="164" fontId="30" fillId="46" borderId="18" xfId="0" applyNumberFormat="1" applyFont="1" applyFill="1" applyBorder="1" applyAlignment="1">
      <alignment horizontal="center" vertical="center"/>
    </xf>
    <xf numFmtId="164" fontId="30" fillId="46" borderId="16" xfId="0" applyNumberFormat="1" applyFont="1" applyFill="1" applyBorder="1" applyAlignment="1">
      <alignment vertical="center"/>
    </xf>
    <xf numFmtId="164" fontId="30" fillId="46" borderId="16" xfId="0" applyNumberFormat="1" applyFont="1" applyFill="1" applyBorder="1" applyAlignment="1">
      <alignment horizontal="center"/>
    </xf>
    <xf numFmtId="164" fontId="30" fillId="51" borderId="17" xfId="0" applyNumberFormat="1" applyFont="1" applyFill="1" applyBorder="1" applyAlignment="1">
      <alignment vertical="center"/>
    </xf>
    <xf numFmtId="164" fontId="30" fillId="51" borderId="17" xfId="0" applyNumberFormat="1" applyFont="1" applyFill="1" applyBorder="1" applyAlignment="1">
      <alignment horizontal="center"/>
    </xf>
    <xf numFmtId="164" fontId="31" fillId="49" borderId="18" xfId="0" applyNumberFormat="1" applyFont="1" applyFill="1" applyBorder="1" applyAlignment="1">
      <alignment horizontal="right" vertical="center"/>
    </xf>
    <xf numFmtId="164" fontId="31" fillId="48" borderId="18" xfId="0" applyNumberFormat="1" applyFont="1" applyFill="1" applyBorder="1" applyAlignment="1">
      <alignment vertical="center"/>
    </xf>
    <xf numFmtId="164" fontId="30" fillId="46" borderId="25" xfId="0" applyNumberFormat="1" applyFont="1" applyFill="1" applyBorder="1" applyAlignment="1">
      <alignment vertical="center"/>
    </xf>
    <xf numFmtId="164" fontId="30" fillId="46" borderId="25" xfId="0" applyNumberFormat="1" applyFont="1" applyFill="1" applyBorder="1" applyAlignment="1">
      <alignment horizontal="center"/>
    </xf>
    <xf numFmtId="12" fontId="30" fillId="52" borderId="3" xfId="0" applyNumberFormat="1" applyFont="1" applyFill="1" applyBorder="1" applyAlignment="1">
      <alignment horizontal="center" vertical="center" wrapText="1"/>
    </xf>
    <xf numFmtId="12" fontId="30" fillId="52" borderId="3" xfId="0" applyNumberFormat="1" applyFont="1" applyFill="1" applyBorder="1" applyAlignment="1">
      <alignment horizontal="center" wrapText="1"/>
    </xf>
    <xf numFmtId="164" fontId="21" fillId="33" borderId="18" xfId="0" applyNumberFormat="1" applyFont="1" applyFill="1" applyBorder="1" applyAlignment="1">
      <alignment horizontal="center" vertical="center"/>
    </xf>
    <xf numFmtId="0" fontId="20" fillId="37" borderId="0" xfId="0" applyFont="1" applyFill="1" applyAlignment="1">
      <alignment vertical="center"/>
    </xf>
    <xf numFmtId="164" fontId="6" fillId="24" borderId="21" xfId="0" applyNumberFormat="1" applyFont="1" applyFill="1" applyBorder="1" applyAlignment="1">
      <alignment horizontal="right" vertical="center"/>
    </xf>
    <xf numFmtId="164" fontId="6" fillId="24" borderId="50" xfId="0" applyNumberFormat="1" applyFont="1" applyFill="1" applyBorder="1" applyAlignment="1">
      <alignment horizontal="right" vertical="center"/>
    </xf>
    <xf numFmtId="164" fontId="6" fillId="24" borderId="18" xfId="0" applyNumberFormat="1" applyFont="1" applyFill="1" applyBorder="1" applyAlignment="1">
      <alignment horizontal="right" vertical="center"/>
    </xf>
    <xf numFmtId="164" fontId="24" fillId="24" borderId="32" xfId="0" applyNumberFormat="1" applyFont="1" applyFill="1" applyBorder="1" applyAlignment="1">
      <alignment horizontal="right" vertical="center"/>
    </xf>
    <xf numFmtId="164" fontId="6" fillId="25" borderId="18" xfId="0" applyNumberFormat="1" applyFont="1" applyFill="1" applyBorder="1" applyAlignment="1">
      <alignment horizontal="right" vertical="center"/>
    </xf>
    <xf numFmtId="164" fontId="24" fillId="26" borderId="18" xfId="0" applyNumberFormat="1" applyFont="1" applyFill="1" applyBorder="1" applyAlignment="1">
      <alignment horizontal="right" vertical="center"/>
    </xf>
    <xf numFmtId="164" fontId="24" fillId="23" borderId="24" xfId="0" applyNumberFormat="1" applyFont="1" applyFill="1" applyBorder="1" applyAlignment="1">
      <alignment horizontal="right" vertical="center"/>
    </xf>
    <xf numFmtId="164" fontId="24" fillId="24" borderId="18" xfId="0" applyNumberFormat="1" applyFont="1" applyFill="1" applyBorder="1" applyAlignment="1">
      <alignment horizontal="right" vertical="center"/>
    </xf>
    <xf numFmtId="164" fontId="24" fillId="41" borderId="18" xfId="0" applyNumberFormat="1" applyFont="1" applyFill="1" applyBorder="1" applyAlignment="1">
      <alignment horizontal="right" vertical="center"/>
    </xf>
    <xf numFmtId="164" fontId="6" fillId="24" borderId="16" xfId="0" applyNumberFormat="1" applyFont="1" applyFill="1" applyBorder="1" applyAlignment="1">
      <alignment horizontal="right" vertical="center"/>
    </xf>
    <xf numFmtId="164" fontId="6" fillId="4" borderId="17" xfId="0" applyNumberFormat="1" applyFont="1" applyFill="1" applyBorder="1" applyAlignment="1">
      <alignment horizontal="right" vertical="center"/>
    </xf>
    <xf numFmtId="12" fontId="32" fillId="23" borderId="2" xfId="0" applyNumberFormat="1" applyFont="1" applyFill="1" applyBorder="1" applyAlignment="1">
      <alignment horizontal="center" vertical="center" wrapText="1"/>
    </xf>
    <xf numFmtId="164" fontId="33" fillId="26" borderId="18" xfId="0" applyNumberFormat="1" applyFont="1" applyFill="1" applyBorder="1" applyAlignment="1">
      <alignment horizontal="right" vertical="center"/>
    </xf>
    <xf numFmtId="164" fontId="32" fillId="24" borderId="18" xfId="0" applyNumberFormat="1" applyFont="1" applyFill="1" applyBorder="1" applyAlignment="1">
      <alignment horizontal="right" vertical="center"/>
    </xf>
    <xf numFmtId="164" fontId="32" fillId="25" borderId="18" xfId="0" applyNumberFormat="1" applyFont="1" applyFill="1" applyBorder="1" applyAlignment="1">
      <alignment horizontal="right" vertical="center"/>
    </xf>
    <xf numFmtId="164" fontId="33" fillId="23" borderId="18" xfId="0" applyNumberFormat="1" applyFont="1" applyFill="1" applyBorder="1" applyAlignment="1">
      <alignment horizontal="right" vertical="center"/>
    </xf>
    <xf numFmtId="164" fontId="33" fillId="23" borderId="24" xfId="0" applyNumberFormat="1" applyFont="1" applyFill="1" applyBorder="1" applyAlignment="1">
      <alignment horizontal="right" vertical="center"/>
    </xf>
    <xf numFmtId="164" fontId="33" fillId="24" borderId="18" xfId="0" applyNumberFormat="1" applyFont="1" applyFill="1" applyBorder="1" applyAlignment="1">
      <alignment horizontal="right" vertical="center"/>
    </xf>
    <xf numFmtId="164" fontId="33" fillId="41" borderId="18" xfId="0" applyNumberFormat="1" applyFont="1" applyFill="1" applyBorder="1" applyAlignment="1">
      <alignment horizontal="right" vertical="center"/>
    </xf>
    <xf numFmtId="164" fontId="32" fillId="4" borderId="17" xfId="0" applyNumberFormat="1" applyFont="1" applyFill="1" applyBorder="1" applyAlignment="1">
      <alignment horizontal="right" vertical="center"/>
    </xf>
    <xf numFmtId="164" fontId="32" fillId="24" borderId="21" xfId="0" applyNumberFormat="1" applyFont="1" applyFill="1" applyBorder="1" applyAlignment="1">
      <alignment horizontal="right" vertical="center"/>
    </xf>
    <xf numFmtId="164" fontId="32" fillId="24" borderId="50" xfId="0" applyNumberFormat="1" applyFont="1" applyFill="1" applyBorder="1" applyAlignment="1">
      <alignment horizontal="right" vertical="center"/>
    </xf>
    <xf numFmtId="164" fontId="33" fillId="24" borderId="32" xfId="0" applyNumberFormat="1" applyFont="1" applyFill="1" applyBorder="1" applyAlignment="1">
      <alignment horizontal="right" vertical="center"/>
    </xf>
    <xf numFmtId="164" fontId="32" fillId="24" borderId="25" xfId="0" applyNumberFormat="1" applyFont="1" applyFill="1" applyBorder="1" applyAlignment="1">
      <alignment vertical="center"/>
    </xf>
    <xf numFmtId="164" fontId="6" fillId="24" borderId="39" xfId="0" applyNumberFormat="1" applyFont="1" applyFill="1" applyBorder="1" applyAlignment="1">
      <alignment horizontal="right" vertical="center"/>
    </xf>
    <xf numFmtId="164" fontId="32" fillId="24" borderId="39" xfId="0" applyNumberFormat="1" applyFont="1" applyFill="1" applyBorder="1" applyAlignment="1">
      <alignment horizontal="right" vertical="center"/>
    </xf>
    <xf numFmtId="164" fontId="32" fillId="24" borderId="24" xfId="0" applyNumberFormat="1" applyFont="1" applyFill="1" applyBorder="1" applyAlignment="1">
      <alignment horizontal="right" vertical="center"/>
    </xf>
    <xf numFmtId="164" fontId="33" fillId="24" borderId="24" xfId="0" applyNumberFormat="1" applyFont="1" applyFill="1" applyBorder="1" applyAlignment="1">
      <alignment horizontal="right" vertical="center"/>
    </xf>
    <xf numFmtId="164" fontId="32" fillId="24" borderId="34" xfId="0" applyNumberFormat="1" applyFont="1" applyFill="1" applyBorder="1" applyAlignment="1">
      <alignment horizontal="right" vertical="center"/>
    </xf>
    <xf numFmtId="12" fontId="32" fillId="27" borderId="33" xfId="0" applyNumberFormat="1" applyFont="1" applyFill="1" applyBorder="1" applyAlignment="1">
      <alignment horizontal="center" vertical="center" wrapText="1"/>
    </xf>
    <xf numFmtId="164" fontId="32" fillId="24" borderId="43" xfId="0" applyNumberFormat="1" applyFont="1" applyFill="1" applyBorder="1" applyAlignment="1">
      <alignment horizontal="right" vertical="center"/>
    </xf>
    <xf numFmtId="164" fontId="32" fillId="25" borderId="38" xfId="0" applyNumberFormat="1" applyFont="1" applyFill="1" applyBorder="1" applyAlignment="1">
      <alignment horizontal="right" vertical="center"/>
    </xf>
    <xf numFmtId="164" fontId="32" fillId="4" borderId="20" xfId="0" applyNumberFormat="1" applyFont="1" applyFill="1" applyBorder="1" applyAlignment="1">
      <alignment horizontal="right" vertical="center"/>
    </xf>
    <xf numFmtId="164" fontId="32" fillId="24" borderId="42" xfId="0" applyNumberFormat="1" applyFont="1" applyFill="1" applyBorder="1" applyAlignment="1">
      <alignment horizontal="right" vertical="center"/>
    </xf>
    <xf numFmtId="164" fontId="33" fillId="24" borderId="50" xfId="0" applyNumberFormat="1" applyFont="1" applyFill="1" applyBorder="1" applyAlignment="1">
      <alignment horizontal="right" vertical="center"/>
    </xf>
    <xf numFmtId="164" fontId="33" fillId="24" borderId="38" xfId="0" applyNumberFormat="1" applyFont="1" applyFill="1" applyBorder="1" applyAlignment="1">
      <alignment horizontal="right" vertical="center"/>
    </xf>
    <xf numFmtId="12" fontId="32" fillId="27" borderId="2" xfId="0" applyNumberFormat="1" applyFont="1" applyFill="1" applyBorder="1" applyAlignment="1">
      <alignment horizontal="center" vertical="center" wrapText="1"/>
    </xf>
    <xf numFmtId="164" fontId="32" fillId="24" borderId="16" xfId="0" applyNumberFormat="1" applyFont="1" applyFill="1" applyBorder="1" applyAlignment="1">
      <alignment horizontal="right" vertical="center"/>
    </xf>
    <xf numFmtId="12" fontId="32" fillId="27" borderId="3" xfId="0" applyNumberFormat="1" applyFont="1" applyFill="1" applyBorder="1" applyAlignment="1">
      <alignment horizontal="center" vertical="center" wrapText="1"/>
    </xf>
    <xf numFmtId="164" fontId="12" fillId="53" borderId="18" xfId="0" applyNumberFormat="1" applyFont="1" applyFill="1" applyBorder="1" applyAlignment="1">
      <alignment horizontal="right" vertical="center"/>
    </xf>
    <xf numFmtId="164" fontId="4" fillId="53" borderId="17" xfId="0" applyNumberFormat="1" applyFont="1" applyFill="1" applyBorder="1" applyAlignment="1">
      <alignment horizontal="left" vertical="center" indent="1"/>
    </xf>
    <xf numFmtId="12" fontId="30" fillId="38" borderId="3" xfId="0" applyNumberFormat="1" applyFont="1" applyFill="1" applyBorder="1" applyAlignment="1">
      <alignment horizontal="center" vertical="center" wrapText="1"/>
    </xf>
    <xf numFmtId="164" fontId="30" fillId="24" borderId="21" xfId="0" applyNumberFormat="1" applyFont="1" applyFill="1" applyBorder="1" applyAlignment="1">
      <alignment horizontal="right" vertical="center"/>
    </xf>
    <xf numFmtId="164" fontId="30" fillId="24" borderId="39" xfId="0" applyNumberFormat="1" applyFont="1" applyFill="1" applyBorder="1" applyAlignment="1">
      <alignment horizontal="right" vertical="center"/>
    </xf>
    <xf numFmtId="164" fontId="30" fillId="17" borderId="39" xfId="0" applyNumberFormat="1" applyFont="1" applyFill="1" applyBorder="1" applyAlignment="1">
      <alignment horizontal="right" vertical="center"/>
    </xf>
    <xf numFmtId="164" fontId="31" fillId="17" borderId="50" xfId="0" applyNumberFormat="1" applyFont="1" applyFill="1" applyBorder="1" applyAlignment="1">
      <alignment horizontal="right" vertical="center"/>
    </xf>
    <xf numFmtId="164" fontId="30" fillId="24" borderId="18" xfId="0" applyNumberFormat="1" applyFont="1" applyFill="1" applyBorder="1" applyAlignment="1">
      <alignment horizontal="right" vertical="center"/>
    </xf>
    <xf numFmtId="164" fontId="30" fillId="17" borderId="50" xfId="0" applyNumberFormat="1" applyFont="1" applyFill="1" applyBorder="1" applyAlignment="1">
      <alignment horizontal="right" vertical="center"/>
    </xf>
    <xf numFmtId="164" fontId="31" fillId="17" borderId="32" xfId="0" applyNumberFormat="1" applyFont="1" applyFill="1" applyBorder="1" applyAlignment="1">
      <alignment horizontal="right" vertical="center"/>
    </xf>
    <xf numFmtId="164" fontId="33" fillId="17" borderId="18" xfId="0" applyNumberFormat="1" applyFont="1" applyFill="1" applyBorder="1" applyAlignment="1">
      <alignment horizontal="right" vertical="center"/>
    </xf>
    <xf numFmtId="164" fontId="32" fillId="17" borderId="18" xfId="0" applyNumberFormat="1" applyFont="1" applyFill="1" applyBorder="1" applyAlignment="1">
      <alignment horizontal="right" vertical="center"/>
    </xf>
    <xf numFmtId="164" fontId="30" fillId="25" borderId="18" xfId="0" applyNumberFormat="1" applyFont="1" applyFill="1" applyBorder="1" applyAlignment="1">
      <alignment horizontal="right" vertical="center"/>
    </xf>
    <xf numFmtId="164" fontId="30" fillId="17" borderId="18" xfId="0" applyNumberFormat="1" applyFont="1" applyFill="1" applyBorder="1" applyAlignment="1">
      <alignment horizontal="right" vertical="center"/>
    </xf>
    <xf numFmtId="164" fontId="31" fillId="17" borderId="18" xfId="0" applyNumberFormat="1" applyFont="1" applyFill="1" applyBorder="1" applyAlignment="1">
      <alignment horizontal="right" vertical="center"/>
    </xf>
    <xf numFmtId="164" fontId="31" fillId="23" borderId="18" xfId="0" applyNumberFormat="1" applyFont="1" applyFill="1" applyBorder="1" applyAlignment="1">
      <alignment horizontal="right" vertical="center"/>
    </xf>
    <xf numFmtId="164" fontId="31" fillId="23" borderId="24" xfId="0" applyNumberFormat="1" applyFont="1" applyFill="1" applyBorder="1" applyAlignment="1">
      <alignment horizontal="right" vertical="center"/>
    </xf>
    <xf numFmtId="164" fontId="31" fillId="41" borderId="18" xfId="0" applyNumberFormat="1" applyFont="1" applyFill="1" applyBorder="1" applyAlignment="1">
      <alignment horizontal="right" vertical="center"/>
    </xf>
    <xf numFmtId="164" fontId="30" fillId="17" borderId="16" xfId="0" applyNumberFormat="1" applyFont="1" applyFill="1" applyBorder="1" applyAlignment="1">
      <alignment horizontal="right" vertical="center"/>
    </xf>
    <xf numFmtId="164" fontId="30" fillId="17" borderId="17" xfId="0" applyNumberFormat="1" applyFont="1" applyFill="1" applyBorder="1" applyAlignment="1">
      <alignment horizontal="right" vertical="center"/>
    </xf>
    <xf numFmtId="164" fontId="30" fillId="17" borderId="25" xfId="0" applyNumberFormat="1" applyFont="1" applyFill="1" applyBorder="1" applyAlignment="1">
      <alignment horizontal="center" vertical="center"/>
    </xf>
    <xf numFmtId="164" fontId="31" fillId="26" borderId="18" xfId="0" applyNumberFormat="1" applyFont="1" applyFill="1" applyBorder="1" applyAlignment="1">
      <alignment horizontal="right" vertical="center"/>
    </xf>
    <xf numFmtId="0" fontId="17" fillId="17" borderId="69" xfId="0" applyFont="1" applyFill="1" applyBorder="1" applyAlignment="1">
      <alignment horizontal="center" vertical="center"/>
    </xf>
    <xf numFmtId="164" fontId="17" fillId="16" borderId="69" xfId="0" applyNumberFormat="1" applyFont="1" applyFill="1" applyBorder="1" applyAlignment="1">
      <alignment horizontal="center" vertical="center"/>
    </xf>
    <xf numFmtId="164" fontId="6" fillId="17" borderId="18" xfId="0" applyNumberFormat="1" applyFont="1" applyFill="1" applyBorder="1" applyAlignment="1">
      <alignment horizontal="right" vertical="center"/>
    </xf>
    <xf numFmtId="164" fontId="24" fillId="17" borderId="18" xfId="0" applyNumberFormat="1" applyFont="1" applyFill="1" applyBorder="1" applyAlignment="1">
      <alignment horizontal="right" vertical="center"/>
    </xf>
    <xf numFmtId="164" fontId="24" fillId="24" borderId="50" xfId="0" applyNumberFormat="1" applyFont="1" applyFill="1" applyBorder="1" applyAlignment="1">
      <alignment horizontal="right" vertical="center"/>
    </xf>
    <xf numFmtId="164" fontId="24" fillId="24" borderId="38" xfId="0" applyNumberFormat="1" applyFont="1" applyFill="1" applyBorder="1" applyAlignment="1">
      <alignment horizontal="right" vertical="center"/>
    </xf>
    <xf numFmtId="164" fontId="6" fillId="24" borderId="75" xfId="0" applyNumberFormat="1" applyFont="1" applyFill="1" applyBorder="1" applyAlignment="1">
      <alignment horizontal="center" vertical="center"/>
    </xf>
    <xf numFmtId="164" fontId="24" fillId="24" borderId="38" xfId="0" applyNumberFormat="1" applyFont="1" applyFill="1" applyBorder="1" applyAlignment="1">
      <alignment horizontal="center" vertical="center"/>
    </xf>
    <xf numFmtId="164" fontId="24" fillId="23" borderId="24" xfId="0" applyNumberFormat="1" applyFont="1" applyFill="1" applyBorder="1" applyAlignment="1">
      <alignment horizontal="center" vertical="center"/>
    </xf>
    <xf numFmtId="164" fontId="24" fillId="41" borderId="18" xfId="0" applyNumberFormat="1" applyFont="1" applyFill="1" applyBorder="1" applyAlignment="1">
      <alignment horizontal="center" vertical="center"/>
    </xf>
    <xf numFmtId="164" fontId="6" fillId="24" borderId="82" xfId="0" applyNumberFormat="1" applyFont="1" applyFill="1" applyBorder="1" applyAlignment="1">
      <alignment vertical="center"/>
    </xf>
    <xf numFmtId="164" fontId="34" fillId="6" borderId="18" xfId="0" applyNumberFormat="1" applyFont="1" applyFill="1" applyBorder="1" applyAlignment="1">
      <alignment horizontal="right" vertical="center"/>
    </xf>
    <xf numFmtId="164" fontId="12" fillId="30" borderId="38" xfId="0" applyNumberFormat="1" applyFont="1" applyFill="1" applyBorder="1" applyAlignment="1">
      <alignment horizontal="center" vertical="center"/>
    </xf>
    <xf numFmtId="164" fontId="22" fillId="56" borderId="85" xfId="0" applyNumberFormat="1" applyFont="1" applyFill="1" applyBorder="1" applyAlignment="1">
      <alignment horizontal="left" vertical="center" indent="1"/>
    </xf>
    <xf numFmtId="164" fontId="22" fillId="56" borderId="85" xfId="0" applyNumberFormat="1" applyFont="1" applyFill="1" applyBorder="1" applyAlignment="1">
      <alignment vertical="center"/>
    </xf>
    <xf numFmtId="164" fontId="22" fillId="57" borderId="85" xfId="0" applyNumberFormat="1" applyFont="1" applyFill="1" applyBorder="1" applyAlignment="1">
      <alignment horizontal="center" vertical="center"/>
    </xf>
    <xf numFmtId="164" fontId="22" fillId="56" borderId="85" xfId="0" applyNumberFormat="1" applyFont="1" applyFill="1" applyBorder="1" applyAlignment="1">
      <alignment horizontal="center" vertical="center"/>
    </xf>
    <xf numFmtId="164" fontId="22" fillId="56" borderId="85" xfId="0" applyNumberFormat="1" applyFont="1" applyFill="1" applyBorder="1" applyAlignment="1">
      <alignment horizontal="right" vertical="center"/>
    </xf>
    <xf numFmtId="164" fontId="6" fillId="6" borderId="84" xfId="0" applyNumberFormat="1" applyFont="1" applyFill="1" applyBorder="1" applyAlignment="1">
      <alignment horizontal="left" vertical="center" indent="1"/>
    </xf>
    <xf numFmtId="164" fontId="6" fillId="6" borderId="38" xfId="0" applyNumberFormat="1" applyFont="1" applyFill="1" applyBorder="1" applyAlignment="1">
      <alignment horizontal="right" vertical="center"/>
    </xf>
    <xf numFmtId="164" fontId="22" fillId="58" borderId="42" xfId="0" applyNumberFormat="1" applyFont="1" applyFill="1" applyBorder="1" applyAlignment="1">
      <alignment horizontal="left" vertical="center" indent="1"/>
    </xf>
    <xf numFmtId="164" fontId="22" fillId="58" borderId="42" xfId="0" applyNumberFormat="1" applyFont="1" applyFill="1" applyBorder="1" applyAlignment="1">
      <alignment horizontal="right" vertical="center"/>
    </xf>
    <xf numFmtId="164" fontId="22" fillId="58" borderId="85" xfId="0" applyNumberFormat="1" applyFont="1" applyFill="1" applyBorder="1" applyAlignment="1">
      <alignment horizontal="left" vertical="center" indent="1"/>
    </xf>
    <xf numFmtId="164" fontId="22" fillId="58" borderId="85" xfId="0" applyNumberFormat="1" applyFont="1" applyFill="1" applyBorder="1" applyAlignment="1">
      <alignment horizontal="right" vertical="center"/>
    </xf>
    <xf numFmtId="164" fontId="22" fillId="58" borderId="85" xfId="0" applyNumberFormat="1" applyFont="1" applyFill="1" applyBorder="1" applyAlignment="1">
      <alignment horizontal="center" vertical="center"/>
    </xf>
    <xf numFmtId="164" fontId="22" fillId="31" borderId="38" xfId="0" applyNumberFormat="1" applyFont="1" applyFill="1" applyBorder="1" applyAlignment="1">
      <alignment horizontal="center" vertical="center"/>
    </xf>
    <xf numFmtId="164" fontId="22" fillId="57" borderId="85" xfId="0" applyNumberFormat="1" applyFont="1" applyFill="1" applyBorder="1" applyAlignment="1">
      <alignment horizontal="right" vertical="center"/>
    </xf>
    <xf numFmtId="164" fontId="12" fillId="28" borderId="38" xfId="0" applyNumberFormat="1" applyFont="1" applyFill="1" applyBorder="1" applyAlignment="1">
      <alignment horizontal="center" vertical="center"/>
    </xf>
    <xf numFmtId="164" fontId="21" fillId="56" borderId="85" xfId="0" applyNumberFormat="1" applyFont="1" applyFill="1" applyBorder="1" applyAlignment="1">
      <alignment horizontal="right" vertical="center"/>
    </xf>
    <xf numFmtId="164" fontId="21" fillId="57" borderId="85" xfId="0" applyNumberFormat="1" applyFont="1" applyFill="1" applyBorder="1" applyAlignment="1">
      <alignment horizontal="right" vertical="center"/>
    </xf>
    <xf numFmtId="164" fontId="21" fillId="56" borderId="85" xfId="0" applyNumberFormat="1" applyFont="1" applyFill="1" applyBorder="1" applyAlignment="1">
      <alignment horizontal="center" vertical="center"/>
    </xf>
    <xf numFmtId="164" fontId="21" fillId="56" borderId="85" xfId="0" applyNumberFormat="1" applyFont="1" applyFill="1" applyBorder="1" applyAlignment="1">
      <alignment vertical="center"/>
    </xf>
    <xf numFmtId="164" fontId="21" fillId="33" borderId="38" xfId="0" applyNumberFormat="1" applyFont="1" applyFill="1" applyBorder="1" applyAlignment="1">
      <alignment horizontal="center" vertical="center"/>
    </xf>
    <xf numFmtId="164" fontId="21" fillId="59" borderId="42" xfId="0" applyNumberFormat="1" applyFont="1" applyFill="1" applyBorder="1" applyAlignment="1">
      <alignment horizontal="center" vertical="center"/>
    </xf>
    <xf numFmtId="164" fontId="22" fillId="59" borderId="42" xfId="0" applyNumberFormat="1" applyFont="1" applyFill="1" applyBorder="1" applyAlignment="1">
      <alignment horizontal="left" vertical="center" indent="1"/>
    </xf>
    <xf numFmtId="164" fontId="21" fillId="59" borderId="42" xfId="0" applyNumberFormat="1" applyFont="1" applyFill="1" applyBorder="1" applyAlignment="1">
      <alignment horizontal="right" vertical="center"/>
    </xf>
    <xf numFmtId="164" fontId="12" fillId="33" borderId="38" xfId="0" applyNumberFormat="1" applyFont="1" applyFill="1" applyBorder="1" applyAlignment="1">
      <alignment horizontal="center" vertical="center"/>
    </xf>
    <xf numFmtId="0" fontId="22" fillId="56" borderId="85" xfId="0" applyFont="1" applyFill="1" applyBorder="1" applyAlignment="1">
      <alignment horizontal="left" vertical="center" indent="1"/>
    </xf>
    <xf numFmtId="164" fontId="22" fillId="60" borderId="85" xfId="0" applyNumberFormat="1" applyFont="1" applyFill="1" applyBorder="1" applyAlignment="1">
      <alignment horizontal="left" vertical="center" indent="1"/>
    </xf>
    <xf numFmtId="164" fontId="22" fillId="60" borderId="85" xfId="0" applyNumberFormat="1" applyFont="1" applyFill="1" applyBorder="1" applyAlignment="1">
      <alignment horizontal="right" vertical="center"/>
    </xf>
    <xf numFmtId="164" fontId="22" fillId="60" borderId="85" xfId="0" applyNumberFormat="1" applyFont="1" applyFill="1" applyBorder="1" applyAlignment="1">
      <alignment horizontal="center" vertical="center"/>
    </xf>
    <xf numFmtId="164" fontId="22" fillId="60" borderId="85" xfId="0" applyNumberFormat="1" applyFont="1" applyFill="1" applyBorder="1" applyAlignment="1">
      <alignment vertical="center"/>
    </xf>
    <xf numFmtId="164" fontId="6" fillId="31" borderId="38" xfId="0" applyNumberFormat="1" applyFont="1" applyFill="1" applyBorder="1" applyAlignment="1">
      <alignment horizontal="center" vertical="center"/>
    </xf>
    <xf numFmtId="164" fontId="21" fillId="33" borderId="63" xfId="0" applyNumberFormat="1" applyFont="1" applyFill="1" applyBorder="1" applyAlignment="1">
      <alignment horizontal="center" vertical="center"/>
    </xf>
    <xf numFmtId="164" fontId="22" fillId="29" borderId="50" xfId="0" applyNumberFormat="1" applyFont="1" applyFill="1" applyBorder="1" applyAlignment="1">
      <alignment horizontal="center" vertical="center"/>
    </xf>
    <xf numFmtId="164" fontId="22" fillId="57" borderId="16" xfId="0" applyNumberFormat="1" applyFont="1" applyFill="1" applyBorder="1" applyAlignment="1">
      <alignment vertical="center"/>
    </xf>
    <xf numFmtId="0" fontId="3" fillId="34" borderId="16" xfId="0" applyFont="1" applyFill="1" applyBorder="1" applyAlignment="1">
      <alignment vertical="center"/>
    </xf>
    <xf numFmtId="164" fontId="6" fillId="16" borderId="16" xfId="0" applyNumberFormat="1" applyFont="1" applyFill="1" applyBorder="1" applyAlignment="1">
      <alignment vertical="center"/>
    </xf>
    <xf numFmtId="164" fontId="22" fillId="63" borderId="42" xfId="0" applyNumberFormat="1" applyFont="1" applyFill="1" applyBorder="1" applyAlignment="1">
      <alignment horizontal="left" vertical="center" indent="1"/>
    </xf>
    <xf numFmtId="164" fontId="22" fillId="63" borderId="42" xfId="0" applyNumberFormat="1" applyFont="1" applyFill="1" applyBorder="1" applyAlignment="1">
      <alignment horizontal="right" vertical="center"/>
    </xf>
    <xf numFmtId="164" fontId="22" fillId="64" borderId="42" xfId="0" applyNumberFormat="1" applyFont="1" applyFill="1" applyBorder="1" applyAlignment="1">
      <alignment horizontal="right" vertical="center"/>
    </xf>
    <xf numFmtId="164" fontId="22" fillId="63" borderId="42" xfId="0" applyNumberFormat="1" applyFont="1" applyFill="1" applyBorder="1" applyAlignment="1">
      <alignment vertical="center"/>
    </xf>
    <xf numFmtId="164" fontId="22" fillId="64" borderId="87" xfId="0" applyNumberFormat="1" applyFont="1" applyFill="1" applyBorder="1" applyAlignment="1">
      <alignment horizontal="right" vertical="center"/>
    </xf>
    <xf numFmtId="164" fontId="4" fillId="63" borderId="42" xfId="0" applyNumberFormat="1" applyFont="1" applyFill="1" applyBorder="1" applyAlignment="1">
      <alignment horizontal="center" vertical="center"/>
    </xf>
    <xf numFmtId="164" fontId="34" fillId="65" borderId="17" xfId="0" applyNumberFormat="1" applyFont="1" applyFill="1" applyBorder="1" applyAlignment="1">
      <alignment horizontal="left" vertical="center" indent="1"/>
    </xf>
    <xf numFmtId="164" fontId="34" fillId="65" borderId="18" xfId="0" applyNumberFormat="1" applyFont="1" applyFill="1" applyBorder="1" applyAlignment="1">
      <alignment vertical="center"/>
    </xf>
    <xf numFmtId="164" fontId="34" fillId="65" borderId="84" xfId="0" applyNumberFormat="1" applyFont="1" applyFill="1" applyBorder="1" applyAlignment="1">
      <alignment horizontal="left" vertical="center" indent="1"/>
    </xf>
    <xf numFmtId="164" fontId="34" fillId="65" borderId="38" xfId="0" applyNumberFormat="1" applyFont="1" applyFill="1" applyBorder="1" applyAlignment="1">
      <alignment vertical="center"/>
    </xf>
    <xf numFmtId="164" fontId="34" fillId="65" borderId="18" xfId="0" applyNumberFormat="1" applyFont="1" applyFill="1" applyBorder="1" applyAlignment="1">
      <alignment horizontal="right" vertical="center"/>
    </xf>
    <xf numFmtId="164" fontId="34" fillId="65" borderId="38" xfId="0" applyNumberFormat="1" applyFont="1" applyFill="1" applyBorder="1" applyAlignment="1">
      <alignment horizontal="right" vertical="center"/>
    </xf>
    <xf numFmtId="164" fontId="6" fillId="39" borderId="16" xfId="0" applyNumberFormat="1" applyFont="1" applyFill="1" applyBorder="1" applyAlignment="1">
      <alignment vertical="center"/>
    </xf>
    <xf numFmtId="164" fontId="34" fillId="66" borderId="17" xfId="0" applyNumberFormat="1" applyFont="1" applyFill="1" applyBorder="1" applyAlignment="1">
      <alignment horizontal="left" vertical="center" indent="1"/>
    </xf>
    <xf numFmtId="164" fontId="34" fillId="66" borderId="18" xfId="0" applyNumberFormat="1" applyFont="1" applyFill="1" applyBorder="1" applyAlignment="1">
      <alignment horizontal="right" vertical="center"/>
    </xf>
    <xf numFmtId="164" fontId="34" fillId="39" borderId="18" xfId="0" applyNumberFormat="1" applyFont="1" applyFill="1" applyBorder="1" applyAlignment="1">
      <alignment horizontal="right" vertical="center"/>
    </xf>
    <xf numFmtId="164" fontId="34" fillId="66" borderId="84" xfId="0" applyNumberFormat="1" applyFont="1" applyFill="1" applyBorder="1" applyAlignment="1">
      <alignment horizontal="left" vertical="center" indent="1"/>
    </xf>
    <xf numFmtId="164" fontId="34" fillId="66" borderId="38" xfId="0" applyNumberFormat="1" applyFont="1" applyFill="1" applyBorder="1" applyAlignment="1">
      <alignment horizontal="right" vertical="center"/>
    </xf>
    <xf numFmtId="164" fontId="34" fillId="39" borderId="38" xfId="0" applyNumberFormat="1" applyFont="1" applyFill="1" applyBorder="1" applyAlignment="1">
      <alignment horizontal="right" vertical="center"/>
    </xf>
    <xf numFmtId="164" fontId="6" fillId="39" borderId="16" xfId="0" applyNumberFormat="1" applyFont="1" applyFill="1" applyBorder="1" applyAlignment="1">
      <alignment horizontal="right" vertical="center"/>
    </xf>
    <xf numFmtId="164" fontId="34" fillId="67" borderId="17" xfId="0" applyNumberFormat="1" applyFont="1" applyFill="1" applyBorder="1" applyAlignment="1">
      <alignment horizontal="left" vertical="center" indent="1"/>
    </xf>
    <xf numFmtId="164" fontId="34" fillId="67" borderId="18" xfId="0" applyNumberFormat="1" applyFont="1" applyFill="1" applyBorder="1" applyAlignment="1">
      <alignment horizontal="right" vertical="center"/>
    </xf>
    <xf numFmtId="164" fontId="34" fillId="67" borderId="84" xfId="0" applyNumberFormat="1" applyFont="1" applyFill="1" applyBorder="1" applyAlignment="1">
      <alignment horizontal="left" vertical="center" indent="1"/>
    </xf>
    <xf numFmtId="164" fontId="34" fillId="67" borderId="38" xfId="0" applyNumberFormat="1" applyFont="1" applyFill="1" applyBorder="1" applyAlignment="1">
      <alignment horizontal="right" vertical="center"/>
    </xf>
    <xf numFmtId="164" fontId="34" fillId="67" borderId="18" xfId="0" applyNumberFormat="1" applyFont="1" applyFill="1" applyBorder="1" applyAlignment="1">
      <alignment vertical="center"/>
    </xf>
    <xf numFmtId="164" fontId="34" fillId="67" borderId="38" xfId="0" applyNumberFormat="1" applyFont="1" applyFill="1" applyBorder="1" applyAlignment="1">
      <alignment vertical="center"/>
    </xf>
    <xf numFmtId="164" fontId="32" fillId="67" borderId="84" xfId="0" applyNumberFormat="1" applyFont="1" applyFill="1" applyBorder="1" applyAlignment="1">
      <alignment horizontal="left" vertical="center" indent="1"/>
    </xf>
    <xf numFmtId="164" fontId="32" fillId="67" borderId="38" xfId="0" applyNumberFormat="1" applyFont="1" applyFill="1" applyBorder="1" applyAlignment="1">
      <alignment horizontal="right" vertical="center"/>
    </xf>
    <xf numFmtId="164" fontId="32" fillId="39" borderId="38" xfId="0" applyNumberFormat="1" applyFont="1" applyFill="1" applyBorder="1" applyAlignment="1">
      <alignment horizontal="right" vertical="center"/>
    </xf>
    <xf numFmtId="164" fontId="32" fillId="67" borderId="63" xfId="0" applyNumberFormat="1" applyFont="1" applyFill="1" applyBorder="1" applyAlignment="1">
      <alignment horizontal="left" vertical="center" indent="1"/>
    </xf>
    <xf numFmtId="164" fontId="32" fillId="67" borderId="63" xfId="0" applyNumberFormat="1" applyFont="1" applyFill="1" applyBorder="1" applyAlignment="1">
      <alignment horizontal="right" vertical="center"/>
    </xf>
    <xf numFmtId="164" fontId="32" fillId="39" borderId="63" xfId="0" applyNumberFormat="1" applyFont="1" applyFill="1" applyBorder="1" applyAlignment="1">
      <alignment horizontal="right" vertical="center"/>
    </xf>
    <xf numFmtId="164" fontId="35" fillId="67" borderId="38" xfId="0" applyNumberFormat="1" applyFont="1" applyFill="1" applyBorder="1" applyAlignment="1">
      <alignment vertical="center"/>
    </xf>
    <xf numFmtId="164" fontId="35" fillId="67" borderId="63" xfId="0" applyNumberFormat="1" applyFont="1" applyFill="1" applyBorder="1" applyAlignment="1">
      <alignment vertical="center"/>
    </xf>
    <xf numFmtId="164" fontId="34" fillId="6" borderId="17" xfId="0" applyNumberFormat="1" applyFont="1" applyFill="1" applyBorder="1" applyAlignment="1">
      <alignment horizontal="left" vertical="center" indent="1"/>
    </xf>
    <xf numFmtId="164" fontId="34" fillId="6" borderId="84" xfId="0" applyNumberFormat="1" applyFont="1" applyFill="1" applyBorder="1" applyAlignment="1">
      <alignment horizontal="left" vertical="center" indent="1"/>
    </xf>
    <xf numFmtId="164" fontId="34" fillId="6" borderId="38" xfId="0" applyNumberFormat="1" applyFont="1" applyFill="1" applyBorder="1" applyAlignment="1">
      <alignment horizontal="right" vertical="center"/>
    </xf>
    <xf numFmtId="164" fontId="34" fillId="6" borderId="18" xfId="0" applyNumberFormat="1" applyFont="1" applyFill="1" applyBorder="1" applyAlignment="1">
      <alignment vertical="center"/>
    </xf>
    <xf numFmtId="164" fontId="34" fillId="6" borderId="38" xfId="0" applyNumberFormat="1" applyFont="1" applyFill="1" applyBorder="1" applyAlignment="1">
      <alignment vertical="center"/>
    </xf>
    <xf numFmtId="164" fontId="34" fillId="66" borderId="18" xfId="0" applyNumberFormat="1" applyFont="1" applyFill="1" applyBorder="1" applyAlignment="1">
      <alignment vertical="center"/>
    </xf>
    <xf numFmtId="164" fontId="34" fillId="66" borderId="38" xfId="0" applyNumberFormat="1" applyFont="1" applyFill="1" applyBorder="1" applyAlignment="1">
      <alignment vertical="center"/>
    </xf>
    <xf numFmtId="164" fontId="35" fillId="66" borderId="18" xfId="0" applyNumberFormat="1" applyFont="1" applyFill="1" applyBorder="1" applyAlignment="1">
      <alignment horizontal="right" vertical="center"/>
    </xf>
    <xf numFmtId="164" fontId="34" fillId="54" borderId="49" xfId="0" applyNumberFormat="1" applyFont="1" applyFill="1" applyBorder="1" applyAlignment="1">
      <alignment horizontal="left" vertical="center" indent="1"/>
    </xf>
    <xf numFmtId="164" fontId="34" fillId="54" borderId="50" xfId="0" applyNumberFormat="1" applyFont="1" applyFill="1" applyBorder="1" applyAlignment="1">
      <alignment horizontal="right" vertical="center"/>
    </xf>
    <xf numFmtId="164" fontId="34" fillId="39" borderId="50" xfId="0" applyNumberFormat="1" applyFont="1" applyFill="1" applyBorder="1" applyAlignment="1">
      <alignment horizontal="right" vertical="center"/>
    </xf>
    <xf numFmtId="164" fontId="34" fillId="54" borderId="50" xfId="0" applyNumberFormat="1" applyFont="1" applyFill="1" applyBorder="1" applyAlignment="1">
      <alignment vertical="center"/>
    </xf>
    <xf numFmtId="164" fontId="6" fillId="39" borderId="88" xfId="0" applyNumberFormat="1" applyFont="1" applyFill="1" applyBorder="1" applyAlignment="1">
      <alignment horizontal="right" vertical="center"/>
    </xf>
    <xf numFmtId="164" fontId="22" fillId="68" borderId="42" xfId="0" applyNumberFormat="1" applyFont="1" applyFill="1" applyBorder="1" applyAlignment="1">
      <alignment horizontal="left" vertical="center" indent="1"/>
    </xf>
    <xf numFmtId="164" fontId="22" fillId="68" borderId="42" xfId="0" applyNumberFormat="1" applyFont="1" applyFill="1" applyBorder="1" applyAlignment="1">
      <alignment horizontal="right" vertical="center"/>
    </xf>
    <xf numFmtId="164" fontId="22" fillId="68" borderId="42" xfId="0" applyNumberFormat="1" applyFont="1" applyFill="1" applyBorder="1" applyAlignment="1">
      <alignment horizontal="center" vertical="center"/>
    </xf>
    <xf numFmtId="164" fontId="6" fillId="16" borderId="34" xfId="0" applyNumberFormat="1" applyFont="1" applyFill="1" applyBorder="1" applyAlignment="1">
      <alignment horizontal="right" vertical="center"/>
    </xf>
    <xf numFmtId="164" fontId="22" fillId="38" borderId="30" xfId="0" applyNumberFormat="1" applyFont="1" applyFill="1" applyBorder="1" applyAlignment="1">
      <alignment horizontal="right" vertical="center"/>
    </xf>
    <xf numFmtId="12" fontId="4" fillId="32" borderId="1" xfId="0" applyNumberFormat="1" applyFont="1" applyFill="1" applyBorder="1" applyAlignment="1">
      <alignment horizontal="left" vertical="center" wrapText="1" indent="1"/>
    </xf>
    <xf numFmtId="12" fontId="4" fillId="28" borderId="2" xfId="0" applyNumberFormat="1" applyFont="1" applyFill="1" applyBorder="1" applyAlignment="1">
      <alignment horizontal="center" vertical="center" wrapText="1"/>
    </xf>
    <xf numFmtId="12" fontId="4" fillId="32" borderId="33" xfId="0" applyNumberFormat="1" applyFont="1" applyFill="1" applyBorder="1" applyAlignment="1">
      <alignment horizontal="center" vertical="center" wrapText="1"/>
    </xf>
    <xf numFmtId="12" fontId="4" fillId="32" borderId="2" xfId="0" applyNumberFormat="1" applyFont="1" applyFill="1" applyBorder="1" applyAlignment="1">
      <alignment horizontal="center" vertical="center" wrapText="1"/>
    </xf>
    <xf numFmtId="12" fontId="4" fillId="16" borderId="3" xfId="0" applyNumberFormat="1" applyFont="1" applyFill="1" applyBorder="1" applyAlignment="1">
      <alignment horizontal="center" vertical="center" wrapText="1"/>
    </xf>
    <xf numFmtId="12" fontId="4" fillId="32" borderId="5" xfId="0" applyNumberFormat="1" applyFont="1" applyFill="1" applyBorder="1" applyAlignment="1">
      <alignment horizontal="center" vertical="center"/>
    </xf>
    <xf numFmtId="12" fontId="4" fillId="32" borderId="13" xfId="0" applyNumberFormat="1" applyFont="1" applyFill="1" applyBorder="1" applyAlignment="1">
      <alignment horizontal="center" vertical="center" wrapText="1"/>
    </xf>
    <xf numFmtId="12" fontId="4" fillId="69" borderId="12" xfId="0" applyNumberFormat="1" applyFont="1" applyFill="1" applyBorder="1" applyAlignment="1">
      <alignment horizontal="left" vertical="center" wrapText="1" indent="1"/>
    </xf>
    <xf numFmtId="12" fontId="4" fillId="70" borderId="13" xfId="0" applyNumberFormat="1" applyFont="1" applyFill="1" applyBorder="1" applyAlignment="1">
      <alignment horizontal="center" vertical="center" wrapText="1"/>
    </xf>
    <xf numFmtId="12" fontId="4" fillId="69" borderId="13" xfId="0" applyNumberFormat="1" applyFont="1" applyFill="1" applyBorder="1" applyAlignment="1">
      <alignment horizontal="center" vertical="center" wrapText="1"/>
    </xf>
    <xf numFmtId="12" fontId="4" fillId="55" borderId="13" xfId="0" applyNumberFormat="1" applyFont="1" applyFill="1" applyBorder="1" applyAlignment="1">
      <alignment horizontal="center" vertical="center" wrapText="1"/>
    </xf>
    <xf numFmtId="12" fontId="4" fillId="69" borderId="90" xfId="0" applyNumberFormat="1" applyFont="1" applyFill="1" applyBorder="1" applyAlignment="1">
      <alignment horizontal="center" vertical="center"/>
    </xf>
    <xf numFmtId="164" fontId="37" fillId="54" borderId="23" xfId="0" applyNumberFormat="1" applyFont="1" applyFill="1" applyBorder="1" applyAlignment="1">
      <alignment horizontal="left" vertical="center" indent="1"/>
    </xf>
    <xf numFmtId="164" fontId="37" fillId="54" borderId="32" xfId="0" applyNumberFormat="1" applyFont="1" applyFill="1" applyBorder="1" applyAlignment="1">
      <alignment horizontal="right" vertical="center"/>
    </xf>
    <xf numFmtId="164" fontId="37" fillId="54" borderId="38" xfId="0" applyNumberFormat="1" applyFont="1" applyFill="1" applyBorder="1" applyAlignment="1">
      <alignment horizontal="right" vertical="center"/>
    </xf>
    <xf numFmtId="164" fontId="37" fillId="39" borderId="32" xfId="0" applyNumberFormat="1" applyFont="1" applyFill="1" applyBorder="1" applyAlignment="1">
      <alignment horizontal="right" vertical="center"/>
    </xf>
    <xf numFmtId="164" fontId="38" fillId="29" borderId="38" xfId="0" applyNumberFormat="1" applyFont="1" applyFill="1" applyBorder="1" applyAlignment="1">
      <alignment horizontal="center" vertical="center"/>
    </xf>
    <xf numFmtId="164" fontId="37" fillId="54" borderId="38" xfId="0" applyNumberFormat="1" applyFont="1" applyFill="1" applyBorder="1" applyAlignment="1">
      <alignment vertical="center"/>
    </xf>
    <xf numFmtId="164" fontId="39" fillId="39" borderId="89" xfId="0" applyNumberFormat="1" applyFont="1" applyFill="1" applyBorder="1" applyAlignment="1">
      <alignment horizontal="right" vertical="center"/>
    </xf>
    <xf numFmtId="0" fontId="40" fillId="0" borderId="0" xfId="0" applyFont="1" applyAlignment="1">
      <alignment vertical="center"/>
    </xf>
    <xf numFmtId="164" fontId="43" fillId="48" borderId="46" xfId="0" applyNumberFormat="1" applyFont="1" applyFill="1" applyBorder="1" applyAlignment="1">
      <alignment horizontal="right" vertical="center"/>
    </xf>
    <xf numFmtId="164" fontId="44" fillId="49" borderId="35" xfId="0" applyNumberFormat="1" applyFont="1" applyFill="1" applyBorder="1" applyAlignment="1">
      <alignment horizontal="right" vertical="center"/>
    </xf>
    <xf numFmtId="164" fontId="22" fillId="16" borderId="16" xfId="0" applyNumberFormat="1" applyFont="1" applyFill="1" applyBorder="1" applyAlignment="1">
      <alignment vertical="center"/>
    </xf>
    <xf numFmtId="164" fontId="37" fillId="54" borderId="20" xfId="0" applyNumberFormat="1" applyFont="1" applyFill="1" applyBorder="1" applyAlignment="1">
      <alignment horizontal="left" vertical="center" indent="1"/>
    </xf>
    <xf numFmtId="164" fontId="37" fillId="54" borderId="21" xfId="0" applyNumberFormat="1" applyFont="1" applyFill="1" applyBorder="1" applyAlignment="1">
      <alignment horizontal="right" vertical="center"/>
    </xf>
    <xf numFmtId="164" fontId="41" fillId="29" borderId="21" xfId="0" applyNumberFormat="1" applyFont="1" applyFill="1" applyBorder="1" applyAlignment="1">
      <alignment horizontal="center" vertical="center"/>
    </xf>
    <xf numFmtId="164" fontId="37" fillId="54" borderId="21" xfId="0" applyNumberFormat="1" applyFont="1" applyFill="1" applyBorder="1" applyAlignment="1">
      <alignment vertical="center"/>
    </xf>
    <xf numFmtId="164" fontId="39" fillId="39" borderId="30" xfId="0" applyNumberFormat="1" applyFont="1" applyFill="1" applyBorder="1" applyAlignment="1">
      <alignment horizontal="right" vertical="center"/>
    </xf>
    <xf numFmtId="164" fontId="37" fillId="54" borderId="39" xfId="0" applyNumberFormat="1" applyFont="1" applyFill="1" applyBorder="1" applyAlignment="1">
      <alignment horizontal="right" vertical="center"/>
    </xf>
    <xf numFmtId="164" fontId="41" fillId="29" borderId="39" xfId="0" applyNumberFormat="1" applyFont="1" applyFill="1" applyBorder="1" applyAlignment="1">
      <alignment horizontal="center" vertical="center"/>
    </xf>
    <xf numFmtId="164" fontId="37" fillId="54" borderId="39" xfId="0" applyNumberFormat="1" applyFont="1" applyFill="1" applyBorder="1" applyAlignment="1">
      <alignment vertical="center"/>
    </xf>
    <xf numFmtId="164" fontId="37" fillId="39" borderId="39" xfId="0" applyNumberFormat="1" applyFont="1" applyFill="1" applyBorder="1" applyAlignment="1">
      <alignment horizontal="right" vertical="center"/>
    </xf>
    <xf numFmtId="164" fontId="37" fillId="54" borderId="49" xfId="0" applyNumberFormat="1" applyFont="1" applyFill="1" applyBorder="1" applyAlignment="1">
      <alignment horizontal="left" vertical="center" indent="1"/>
    </xf>
    <xf numFmtId="164" fontId="37" fillId="54" borderId="50" xfId="0" applyNumberFormat="1" applyFont="1" applyFill="1" applyBorder="1" applyAlignment="1">
      <alignment horizontal="right" vertical="center"/>
    </xf>
    <xf numFmtId="164" fontId="45" fillId="54" borderId="50" xfId="0" applyNumberFormat="1" applyFont="1" applyFill="1" applyBorder="1" applyAlignment="1">
      <alignment horizontal="right" vertical="center"/>
    </xf>
    <xf numFmtId="164" fontId="45" fillId="39" borderId="50" xfId="0" applyNumberFormat="1" applyFont="1" applyFill="1" applyBorder="1" applyAlignment="1">
      <alignment horizontal="right" vertical="center"/>
    </xf>
    <xf numFmtId="164" fontId="44" fillId="29" borderId="50" xfId="0" applyNumberFormat="1" applyFont="1" applyFill="1" applyBorder="1" applyAlignment="1">
      <alignment horizontal="center" vertical="center"/>
    </xf>
    <xf numFmtId="164" fontId="45" fillId="54" borderId="50" xfId="0" applyNumberFormat="1" applyFont="1" applyFill="1" applyBorder="1" applyAlignment="1">
      <alignment vertical="center"/>
    </xf>
    <xf numFmtId="0" fontId="17" fillId="17" borderId="77" xfId="0" applyFont="1" applyFill="1" applyBorder="1" applyAlignment="1">
      <alignment vertical="center"/>
    </xf>
    <xf numFmtId="0" fontId="17" fillId="17" borderId="78" xfId="0" applyFont="1" applyFill="1" applyBorder="1" applyAlignment="1">
      <alignment vertical="center"/>
    </xf>
    <xf numFmtId="0" fontId="17" fillId="17" borderId="42" xfId="0" applyFont="1" applyFill="1" applyBorder="1" applyAlignment="1">
      <alignment vertical="center"/>
    </xf>
    <xf numFmtId="0" fontId="17" fillId="17" borderId="69" xfId="0" applyFont="1" applyFill="1" applyBorder="1" applyAlignment="1">
      <alignment vertical="center"/>
    </xf>
    <xf numFmtId="164" fontId="17" fillId="16" borderId="91" xfId="0" applyNumberFormat="1" applyFont="1" applyFill="1" applyBorder="1" applyAlignment="1">
      <alignment horizontal="center" vertical="center"/>
    </xf>
    <xf numFmtId="164" fontId="17" fillId="10" borderId="63" xfId="0" applyNumberFormat="1" applyFont="1" applyFill="1" applyBorder="1" applyAlignment="1">
      <alignment horizontal="center" vertical="center"/>
    </xf>
    <xf numFmtId="164" fontId="27" fillId="10" borderId="63" xfId="0" applyNumberFormat="1" applyFont="1" applyFill="1" applyBorder="1" applyAlignment="1">
      <alignment horizontal="center" vertical="center"/>
    </xf>
    <xf numFmtId="164" fontId="27" fillId="10" borderId="64" xfId="0" applyNumberFormat="1" applyFont="1" applyFill="1" applyBorder="1" applyAlignment="1">
      <alignment horizontal="center" vertical="center"/>
    </xf>
    <xf numFmtId="164" fontId="17" fillId="10" borderId="64" xfId="0" applyNumberFormat="1" applyFont="1" applyFill="1" applyBorder="1" applyAlignment="1">
      <alignment horizontal="center" vertical="center"/>
    </xf>
    <xf numFmtId="0" fontId="17" fillId="16" borderId="69" xfId="0" applyFont="1" applyFill="1" applyBorder="1" applyAlignment="1">
      <alignment horizontal="center" vertical="center"/>
    </xf>
    <xf numFmtId="164" fontId="17" fillId="16" borderId="72" xfId="0" applyNumberFormat="1" applyFont="1" applyFill="1" applyBorder="1" applyAlignment="1">
      <alignment horizontal="center" vertical="center"/>
    </xf>
    <xf numFmtId="164" fontId="6" fillId="16" borderId="88" xfId="0" applyNumberFormat="1" applyFont="1" applyFill="1" applyBorder="1" applyAlignment="1">
      <alignment horizontal="right" vertical="center"/>
    </xf>
    <xf numFmtId="164" fontId="26" fillId="61" borderId="63" xfId="0" applyNumberFormat="1" applyFont="1" applyFill="1" applyBorder="1" applyAlignment="1">
      <alignment horizontal="center" vertical="center"/>
    </xf>
    <xf numFmtId="164" fontId="46" fillId="16" borderId="0" xfId="0" applyNumberFormat="1" applyFont="1" applyFill="1" applyAlignment="1">
      <alignment horizontal="center" vertical="center"/>
    </xf>
    <xf numFmtId="0" fontId="17" fillId="16" borderId="71" xfId="0" applyFont="1" applyFill="1" applyBorder="1" applyAlignment="1">
      <alignment horizontal="center" vertical="center"/>
    </xf>
    <xf numFmtId="164" fontId="4" fillId="28" borderId="38" xfId="0" applyNumberFormat="1" applyFont="1" applyFill="1" applyBorder="1" applyAlignment="1">
      <alignment horizontal="center" vertical="center"/>
    </xf>
    <xf numFmtId="164" fontId="36" fillId="63" borderId="42" xfId="0" applyNumberFormat="1" applyFont="1" applyFill="1" applyBorder="1" applyAlignment="1">
      <alignment horizontal="left" vertical="center" indent="1"/>
    </xf>
    <xf numFmtId="164" fontId="36" fillId="63" borderId="42" xfId="0" applyNumberFormat="1" applyFont="1" applyFill="1" applyBorder="1" applyAlignment="1">
      <alignment vertical="center"/>
    </xf>
    <xf numFmtId="164" fontId="22" fillId="57" borderId="16" xfId="0" applyNumberFormat="1" applyFont="1" applyFill="1" applyBorder="1" applyAlignment="1">
      <alignment horizontal="right" vertical="center" indent="1"/>
    </xf>
    <xf numFmtId="164" fontId="6" fillId="16" borderId="16" xfId="0" applyNumberFormat="1" applyFont="1" applyFill="1" applyBorder="1" applyAlignment="1">
      <alignment horizontal="right" vertical="center" indent="1"/>
    </xf>
    <xf numFmtId="164" fontId="22" fillId="16" borderId="16" xfId="0" applyNumberFormat="1" applyFont="1" applyFill="1" applyBorder="1" applyAlignment="1">
      <alignment horizontal="right" vertical="center" indent="1"/>
    </xf>
    <xf numFmtId="164" fontId="22" fillId="38" borderId="30" xfId="0" applyNumberFormat="1" applyFont="1" applyFill="1" applyBorder="1" applyAlignment="1">
      <alignment horizontal="right" vertical="center" indent="1"/>
    </xf>
    <xf numFmtId="164" fontId="6" fillId="16" borderId="34" xfId="0" applyNumberFormat="1" applyFont="1" applyFill="1" applyBorder="1" applyAlignment="1">
      <alignment horizontal="right" vertical="center" indent="1"/>
    </xf>
    <xf numFmtId="164" fontId="36" fillId="64" borderId="87" xfId="0" applyNumberFormat="1" applyFont="1" applyFill="1" applyBorder="1" applyAlignment="1">
      <alignment horizontal="right" vertical="center" indent="1"/>
    </xf>
    <xf numFmtId="164" fontId="41" fillId="49" borderId="35" xfId="0" applyNumberFormat="1" applyFont="1" applyFill="1" applyBorder="1" applyAlignment="1">
      <alignment horizontal="right" vertical="center"/>
    </xf>
    <xf numFmtId="164" fontId="21" fillId="28" borderId="38" xfId="0" applyNumberFormat="1" applyFont="1" applyFill="1" applyBorder="1" applyAlignment="1">
      <alignment horizontal="center" vertical="center"/>
    </xf>
    <xf numFmtId="164" fontId="22" fillId="6" borderId="18" xfId="0" applyNumberFormat="1" applyFont="1" applyFill="1" applyBorder="1" applyAlignment="1">
      <alignment horizontal="right" vertical="center"/>
    </xf>
    <xf numFmtId="164" fontId="22" fillId="6" borderId="38" xfId="0" applyNumberFormat="1" applyFont="1" applyFill="1" applyBorder="1" applyAlignment="1">
      <alignment horizontal="right" vertical="center"/>
    </xf>
    <xf numFmtId="164" fontId="38" fillId="29" borderId="21" xfId="0" applyNumberFormat="1" applyFont="1" applyFill="1" applyBorder="1" applyAlignment="1">
      <alignment horizontal="center" vertical="center"/>
    </xf>
    <xf numFmtId="164" fontId="38" fillId="29" borderId="39" xfId="0" applyNumberFormat="1" applyFont="1" applyFill="1" applyBorder="1" applyAlignment="1">
      <alignment horizontal="center" vertical="center"/>
    </xf>
    <xf numFmtId="164" fontId="48" fillId="29" borderId="50" xfId="0" applyNumberFormat="1" applyFont="1" applyFill="1" applyBorder="1" applyAlignment="1">
      <alignment horizontal="center" vertical="center"/>
    </xf>
    <xf numFmtId="164" fontId="49" fillId="46" borderId="42" xfId="0" applyNumberFormat="1" applyFont="1" applyFill="1" applyBorder="1" applyAlignment="1">
      <alignment horizontal="right" vertical="center"/>
    </xf>
    <xf numFmtId="164" fontId="32" fillId="46" borderId="85" xfId="0" applyNumberFormat="1" applyFont="1" applyFill="1" applyBorder="1" applyAlignment="1">
      <alignment vertical="center"/>
    </xf>
    <xf numFmtId="164" fontId="32" fillId="46" borderId="42" xfId="0" applyNumberFormat="1" applyFont="1" applyFill="1" applyBorder="1" applyAlignment="1">
      <alignment horizontal="right" vertical="center"/>
    </xf>
    <xf numFmtId="164" fontId="32" fillId="49" borderId="85" xfId="0" applyNumberFormat="1" applyFont="1" applyFill="1" applyBorder="1" applyAlignment="1">
      <alignment horizontal="right" vertical="center"/>
    </xf>
    <xf numFmtId="164" fontId="32" fillId="46" borderId="85" xfId="0" applyNumberFormat="1" applyFont="1" applyFill="1" applyBorder="1" applyAlignment="1">
      <alignment horizontal="right" vertical="center"/>
    </xf>
    <xf numFmtId="164" fontId="32" fillId="47" borderId="42" xfId="0" applyNumberFormat="1" applyFont="1" applyFill="1" applyBorder="1" applyAlignment="1">
      <alignment horizontal="right" vertical="center"/>
    </xf>
    <xf numFmtId="164" fontId="33" fillId="50" borderId="42" xfId="0" applyNumberFormat="1" applyFont="1" applyFill="1" applyBorder="1" applyAlignment="1">
      <alignment horizontal="right" vertical="center"/>
    </xf>
    <xf numFmtId="164" fontId="33" fillId="46" borderId="85" xfId="0" applyNumberFormat="1" applyFont="1" applyFill="1" applyBorder="1" applyAlignment="1">
      <alignment horizontal="right" vertical="center"/>
    </xf>
    <xf numFmtId="164" fontId="32" fillId="47" borderId="85" xfId="0" applyNumberFormat="1" applyFont="1" applyFill="1" applyBorder="1" applyAlignment="1">
      <alignment horizontal="right" vertical="center"/>
    </xf>
    <xf numFmtId="164" fontId="30" fillId="46" borderId="85" xfId="0" applyNumberFormat="1" applyFont="1" applyFill="1" applyBorder="1" applyAlignment="1">
      <alignment vertical="center"/>
    </xf>
    <xf numFmtId="164" fontId="30" fillId="47" borderId="85" xfId="0" applyNumberFormat="1" applyFont="1" applyFill="1" applyBorder="1" applyAlignment="1">
      <alignment horizontal="right" vertical="center"/>
    </xf>
    <xf numFmtId="164" fontId="30" fillId="46" borderId="85" xfId="0" applyNumberFormat="1" applyFont="1" applyFill="1" applyBorder="1" applyAlignment="1">
      <alignment horizontal="right" vertical="center"/>
    </xf>
    <xf numFmtId="164" fontId="31" fillId="46" borderId="85" xfId="0" applyNumberFormat="1" applyFont="1" applyFill="1" applyBorder="1" applyAlignment="1">
      <alignment horizontal="right" vertical="center"/>
    </xf>
    <xf numFmtId="164" fontId="31" fillId="50" borderId="42" xfId="0" applyNumberFormat="1" applyFont="1" applyFill="1" applyBorder="1" applyAlignment="1">
      <alignment horizontal="right" vertical="center"/>
    </xf>
    <xf numFmtId="164" fontId="30" fillId="47" borderId="42" xfId="0" applyNumberFormat="1" applyFont="1" applyFill="1" applyBorder="1" applyAlignment="1">
      <alignment horizontal="right" vertical="center"/>
    </xf>
    <xf numFmtId="164" fontId="30" fillId="49" borderId="85" xfId="0" applyNumberFormat="1" applyFont="1" applyFill="1" applyBorder="1" applyAlignment="1">
      <alignment horizontal="right" vertical="center"/>
    </xf>
    <xf numFmtId="164" fontId="30" fillId="46" borderId="42" xfId="0" applyNumberFormat="1" applyFont="1" applyFill="1" applyBorder="1" applyAlignment="1">
      <alignment horizontal="right" vertical="center"/>
    </xf>
    <xf numFmtId="164" fontId="50" fillId="46" borderId="42" xfId="0" applyNumberFormat="1" applyFont="1" applyFill="1" applyBorder="1" applyAlignment="1">
      <alignment horizontal="right" vertical="center"/>
    </xf>
    <xf numFmtId="0" fontId="15" fillId="0" borderId="42" xfId="0" applyFont="1" applyBorder="1" applyAlignment="1">
      <alignment vertical="center"/>
    </xf>
    <xf numFmtId="164" fontId="38" fillId="29" borderId="50" xfId="0" applyNumberFormat="1" applyFont="1" applyFill="1" applyBorder="1" applyAlignment="1">
      <alignment vertical="center"/>
    </xf>
    <xf numFmtId="164" fontId="39" fillId="16" borderId="88" xfId="0" applyNumberFormat="1" applyFont="1" applyFill="1" applyBorder="1" applyAlignment="1">
      <alignment horizontal="right" vertical="center"/>
    </xf>
    <xf numFmtId="164" fontId="38" fillId="29" borderId="49" xfId="0" applyNumberFormat="1" applyFont="1" applyFill="1" applyBorder="1" applyAlignment="1">
      <alignment horizontal="left" vertical="center" indent="1"/>
    </xf>
    <xf numFmtId="164" fontId="38" fillId="29" borderId="50" xfId="0" applyNumberFormat="1" applyFont="1" applyFill="1" applyBorder="1" applyAlignment="1">
      <alignment horizontal="right" vertical="center"/>
    </xf>
    <xf numFmtId="164" fontId="51" fillId="71" borderId="23" xfId="0" applyNumberFormat="1" applyFont="1" applyFill="1" applyBorder="1" applyAlignment="1">
      <alignment horizontal="left" vertical="center" indent="1"/>
    </xf>
    <xf numFmtId="164" fontId="51" fillId="71" borderId="32" xfId="0" applyNumberFormat="1" applyFont="1" applyFill="1" applyBorder="1" applyAlignment="1">
      <alignment horizontal="right" vertical="center" indent="1"/>
    </xf>
    <xf numFmtId="164" fontId="51" fillId="71" borderId="38" xfId="0" applyNumberFormat="1" applyFont="1" applyFill="1" applyBorder="1" applyAlignment="1">
      <alignment horizontal="right" vertical="center" indent="1"/>
    </xf>
    <xf numFmtId="164" fontId="34" fillId="72" borderId="20" xfId="0" applyNumberFormat="1" applyFont="1" applyFill="1" applyBorder="1" applyAlignment="1">
      <alignment horizontal="left" vertical="center" indent="1"/>
    </xf>
    <xf numFmtId="164" fontId="32" fillId="72" borderId="21" xfId="0" applyNumberFormat="1" applyFont="1" applyFill="1" applyBorder="1" applyAlignment="1">
      <alignment horizontal="right" vertical="center"/>
    </xf>
    <xf numFmtId="164" fontId="30" fillId="72" borderId="21" xfId="0" applyNumberFormat="1" applyFont="1" applyFill="1" applyBorder="1" applyAlignment="1">
      <alignment horizontal="right" vertical="center"/>
    </xf>
    <xf numFmtId="164" fontId="34" fillId="72" borderId="21" xfId="0" applyNumberFormat="1" applyFont="1" applyFill="1" applyBorder="1" applyAlignment="1">
      <alignment horizontal="right" vertical="center"/>
    </xf>
    <xf numFmtId="164" fontId="34" fillId="72" borderId="39" xfId="0" applyNumberFormat="1" applyFont="1" applyFill="1" applyBorder="1" applyAlignment="1">
      <alignment horizontal="right" vertical="center"/>
    </xf>
    <xf numFmtId="164" fontId="32" fillId="72" borderId="39" xfId="0" applyNumberFormat="1" applyFont="1" applyFill="1" applyBorder="1" applyAlignment="1">
      <alignment horizontal="right" vertical="center"/>
    </xf>
    <xf numFmtId="164" fontId="30" fillId="72" borderId="39" xfId="0" applyNumberFormat="1" applyFont="1" applyFill="1" applyBorder="1" applyAlignment="1">
      <alignment horizontal="right" vertical="center"/>
    </xf>
    <xf numFmtId="164" fontId="34" fillId="73" borderId="24" xfId="0" applyNumberFormat="1" applyFont="1" applyFill="1" applyBorder="1" applyAlignment="1">
      <alignment horizontal="center" vertical="center"/>
    </xf>
    <xf numFmtId="164" fontId="34" fillId="72" borderId="49" xfId="0" applyNumberFormat="1" applyFont="1" applyFill="1" applyBorder="1" applyAlignment="1">
      <alignment horizontal="left" vertical="center" indent="1"/>
    </xf>
    <xf numFmtId="164" fontId="32" fillId="72" borderId="50" xfId="0" applyNumberFormat="1" applyFont="1" applyFill="1" applyBorder="1" applyAlignment="1">
      <alignment horizontal="right" vertical="center"/>
    </xf>
    <xf numFmtId="164" fontId="30" fillId="72" borderId="50" xfId="0" applyNumberFormat="1" applyFont="1" applyFill="1" applyBorder="1" applyAlignment="1">
      <alignment horizontal="right" vertical="center"/>
    </xf>
    <xf numFmtId="164" fontId="34" fillId="73" borderId="94" xfId="0" applyNumberFormat="1" applyFont="1" applyFill="1" applyBorder="1" applyAlignment="1">
      <alignment horizontal="center" vertical="center"/>
    </xf>
    <xf numFmtId="164" fontId="34" fillId="74" borderId="17" xfId="0" applyNumberFormat="1" applyFont="1" applyFill="1" applyBorder="1" applyAlignment="1">
      <alignment horizontal="left" vertical="center" indent="1"/>
    </xf>
    <xf numFmtId="164" fontId="33" fillId="74" borderId="18" xfId="0" applyNumberFormat="1" applyFont="1" applyFill="1" applyBorder="1" applyAlignment="1">
      <alignment horizontal="right" vertical="center"/>
    </xf>
    <xf numFmtId="164" fontId="31" fillId="74" borderId="18" xfId="0" applyNumberFormat="1" applyFont="1" applyFill="1" applyBorder="1" applyAlignment="1">
      <alignment horizontal="right" vertical="center"/>
    </xf>
    <xf numFmtId="164" fontId="35" fillId="74" borderId="24" xfId="0" applyNumberFormat="1" applyFont="1" applyFill="1" applyBorder="1" applyAlignment="1">
      <alignment horizontal="center" vertical="center"/>
    </xf>
    <xf numFmtId="164" fontId="34" fillId="74" borderId="84" xfId="0" applyNumberFormat="1" applyFont="1" applyFill="1" applyBorder="1" applyAlignment="1">
      <alignment horizontal="left" vertical="center" indent="1"/>
    </xf>
    <xf numFmtId="164" fontId="32" fillId="74" borderId="38" xfId="0" applyNumberFormat="1" applyFont="1" applyFill="1" applyBorder="1" applyAlignment="1">
      <alignment horizontal="right" vertical="center"/>
    </xf>
    <xf numFmtId="164" fontId="30" fillId="74" borderId="38" xfId="0" applyNumberFormat="1" applyFont="1" applyFill="1" applyBorder="1" applyAlignment="1">
      <alignment horizontal="right" vertical="center"/>
    </xf>
    <xf numFmtId="164" fontId="34" fillId="74" borderId="94" xfId="0" applyNumberFormat="1" applyFont="1" applyFill="1" applyBorder="1" applyAlignment="1">
      <alignment horizontal="center" vertical="center"/>
    </xf>
    <xf numFmtId="164" fontId="34" fillId="74" borderId="38" xfId="0" applyNumberFormat="1" applyFont="1" applyFill="1" applyBorder="1" applyAlignment="1">
      <alignment horizontal="right" vertical="center"/>
    </xf>
    <xf numFmtId="164" fontId="32" fillId="74" borderId="18" xfId="0" applyNumberFormat="1" applyFont="1" applyFill="1" applyBorder="1" applyAlignment="1">
      <alignment horizontal="right" vertical="center"/>
    </xf>
    <xf numFmtId="164" fontId="30" fillId="74" borderId="18" xfId="0" applyNumberFormat="1" applyFont="1" applyFill="1" applyBorder="1" applyAlignment="1">
      <alignment horizontal="right" vertical="center"/>
    </xf>
    <xf numFmtId="164" fontId="34" fillId="74" borderId="24" xfId="0" applyNumberFormat="1" applyFont="1" applyFill="1" applyBorder="1" applyAlignment="1">
      <alignment horizontal="center" vertical="center"/>
    </xf>
    <xf numFmtId="164" fontId="34" fillId="74" borderId="18" xfId="0" applyNumberFormat="1" applyFont="1" applyFill="1" applyBorder="1" applyAlignment="1">
      <alignment horizontal="right" vertical="center"/>
    </xf>
    <xf numFmtId="164" fontId="34" fillId="75" borderId="17" xfId="0" applyNumberFormat="1" applyFont="1" applyFill="1" applyBorder="1" applyAlignment="1">
      <alignment horizontal="left" vertical="center" indent="1"/>
    </xf>
    <xf numFmtId="164" fontId="32" fillId="75" borderId="18" xfId="0" applyNumberFormat="1" applyFont="1" applyFill="1" applyBorder="1" applyAlignment="1">
      <alignment horizontal="right" vertical="center"/>
    </xf>
    <xf numFmtId="164" fontId="30" fillId="75" borderId="18" xfId="0" applyNumberFormat="1" applyFont="1" applyFill="1" applyBorder="1" applyAlignment="1">
      <alignment horizontal="right" vertical="center"/>
    </xf>
    <xf numFmtId="164" fontId="34" fillId="75" borderId="24" xfId="0" applyNumberFormat="1" applyFont="1" applyFill="1" applyBorder="1" applyAlignment="1">
      <alignment horizontal="center" vertical="center"/>
    </xf>
    <xf numFmtId="164" fontId="34" fillId="75" borderId="84" xfId="0" applyNumberFormat="1" applyFont="1" applyFill="1" applyBorder="1" applyAlignment="1">
      <alignment horizontal="left" vertical="center" indent="1"/>
    </xf>
    <xf numFmtId="164" fontId="32" fillId="75" borderId="38" xfId="0" applyNumberFormat="1" applyFont="1" applyFill="1" applyBorder="1" applyAlignment="1">
      <alignment horizontal="right" vertical="center"/>
    </xf>
    <xf numFmtId="164" fontId="30" fillId="75" borderId="38" xfId="0" applyNumberFormat="1" applyFont="1" applyFill="1" applyBorder="1" applyAlignment="1">
      <alignment horizontal="right" vertical="center"/>
    </xf>
    <xf numFmtId="164" fontId="34" fillId="75" borderId="94" xfId="0" applyNumberFormat="1" applyFont="1" applyFill="1" applyBorder="1" applyAlignment="1">
      <alignment horizontal="center" vertical="center"/>
    </xf>
    <xf numFmtId="164" fontId="34" fillId="76" borderId="17" xfId="0" applyNumberFormat="1" applyFont="1" applyFill="1" applyBorder="1" applyAlignment="1">
      <alignment horizontal="left" vertical="center" indent="1"/>
    </xf>
    <xf numFmtId="164" fontId="32" fillId="76" borderId="18" xfId="0" applyNumberFormat="1" applyFont="1" applyFill="1" applyBorder="1" applyAlignment="1">
      <alignment horizontal="right" vertical="center"/>
    </xf>
    <xf numFmtId="164" fontId="30" fillId="76" borderId="18" xfId="0" applyNumberFormat="1" applyFont="1" applyFill="1" applyBorder="1" applyAlignment="1">
      <alignment horizontal="right" vertical="center"/>
    </xf>
    <xf numFmtId="164" fontId="34" fillId="76" borderId="18" xfId="0" applyNumberFormat="1" applyFont="1" applyFill="1" applyBorder="1" applyAlignment="1">
      <alignment horizontal="right" vertical="center"/>
    </xf>
    <xf numFmtId="164" fontId="34" fillId="76" borderId="84" xfId="0" applyNumberFormat="1" applyFont="1" applyFill="1" applyBorder="1" applyAlignment="1">
      <alignment horizontal="left" vertical="center" indent="1"/>
    </xf>
    <xf numFmtId="164" fontId="32" fillId="76" borderId="38" xfId="0" applyNumberFormat="1" applyFont="1" applyFill="1" applyBorder="1" applyAlignment="1">
      <alignment horizontal="right" vertical="center"/>
    </xf>
    <xf numFmtId="164" fontId="30" fillId="76" borderId="38" xfId="0" applyNumberFormat="1" applyFont="1" applyFill="1" applyBorder="1" applyAlignment="1">
      <alignment horizontal="right" vertical="center"/>
    </xf>
    <xf numFmtId="164" fontId="34" fillId="76" borderId="38" xfId="0" applyNumberFormat="1" applyFont="1" applyFill="1" applyBorder="1" applyAlignment="1">
      <alignment horizontal="right" vertical="center"/>
    </xf>
    <xf numFmtId="164" fontId="34" fillId="76" borderId="94" xfId="0" applyNumberFormat="1" applyFont="1" applyFill="1" applyBorder="1" applyAlignment="1">
      <alignment horizontal="center" vertical="center"/>
    </xf>
    <xf numFmtId="164" fontId="32" fillId="76" borderId="84" xfId="0" applyNumberFormat="1" applyFont="1" applyFill="1" applyBorder="1" applyAlignment="1">
      <alignment horizontal="left" vertical="center" indent="1"/>
    </xf>
    <xf numFmtId="164" fontId="32" fillId="73" borderId="94" xfId="0" applyNumberFormat="1" applyFont="1" applyFill="1" applyBorder="1" applyAlignment="1">
      <alignment horizontal="center" vertical="center"/>
    </xf>
    <xf numFmtId="164" fontId="32" fillId="76" borderId="63" xfId="0" applyNumberFormat="1" applyFont="1" applyFill="1" applyBorder="1" applyAlignment="1">
      <alignment horizontal="left" vertical="center" indent="1"/>
    </xf>
    <xf numFmtId="164" fontId="32" fillId="76" borderId="63" xfId="0" applyNumberFormat="1" applyFont="1" applyFill="1" applyBorder="1" applyAlignment="1">
      <alignment horizontal="right" vertical="center"/>
    </xf>
    <xf numFmtId="164" fontId="30" fillId="76" borderId="63" xfId="0" applyNumberFormat="1" applyFont="1" applyFill="1" applyBorder="1" applyAlignment="1">
      <alignment horizontal="right" vertical="center"/>
    </xf>
    <xf numFmtId="164" fontId="32" fillId="73" borderId="97" xfId="0" applyNumberFormat="1" applyFont="1" applyFill="1" applyBorder="1" applyAlignment="1">
      <alignment horizontal="center" vertical="center"/>
    </xf>
    <xf numFmtId="164" fontId="6" fillId="75" borderId="17" xfId="0" applyNumberFormat="1" applyFont="1" applyFill="1" applyBorder="1" applyAlignment="1">
      <alignment horizontal="left" vertical="center" indent="1"/>
    </xf>
    <xf numFmtId="164" fontId="6" fillId="75" borderId="24" xfId="0" applyNumberFormat="1" applyFont="1" applyFill="1" applyBorder="1" applyAlignment="1">
      <alignment horizontal="center" vertical="center"/>
    </xf>
    <xf numFmtId="164" fontId="6" fillId="75" borderId="18" xfId="0" applyNumberFormat="1" applyFont="1" applyFill="1" applyBorder="1" applyAlignment="1">
      <alignment horizontal="right" vertical="center"/>
    </xf>
    <xf numFmtId="164" fontId="6" fillId="75" borderId="84" xfId="0" applyNumberFormat="1" applyFont="1" applyFill="1" applyBorder="1" applyAlignment="1">
      <alignment horizontal="left" vertical="center" indent="1"/>
    </xf>
    <xf numFmtId="164" fontId="6" fillId="75" borderId="94" xfId="0" applyNumberFormat="1" applyFont="1" applyFill="1" applyBorder="1" applyAlignment="1">
      <alignment horizontal="center" vertical="center"/>
    </xf>
    <xf numFmtId="164" fontId="6" fillId="75" borderId="38" xfId="0" applyNumberFormat="1" applyFont="1" applyFill="1" applyBorder="1" applyAlignment="1">
      <alignment horizontal="right" vertical="center"/>
    </xf>
    <xf numFmtId="164" fontId="34" fillId="77" borderId="17" xfId="0" applyNumberFormat="1" applyFont="1" applyFill="1" applyBorder="1" applyAlignment="1">
      <alignment horizontal="left" vertical="center" indent="1"/>
    </xf>
    <xf numFmtId="164" fontId="32" fillId="77" borderId="18" xfId="0" applyNumberFormat="1" applyFont="1" applyFill="1" applyBorder="1" applyAlignment="1">
      <alignment vertical="center"/>
    </xf>
    <xf numFmtId="164" fontId="30" fillId="77" borderId="18" xfId="0" applyNumberFormat="1" applyFont="1" applyFill="1" applyBorder="1" applyAlignment="1">
      <alignment vertical="center"/>
    </xf>
    <xf numFmtId="164" fontId="34" fillId="77" borderId="24" xfId="0" applyNumberFormat="1" applyFont="1" applyFill="1" applyBorder="1" applyAlignment="1">
      <alignment horizontal="center" vertical="center"/>
    </xf>
    <xf numFmtId="164" fontId="34" fillId="77" borderId="84" xfId="0" applyNumberFormat="1" applyFont="1" applyFill="1" applyBorder="1" applyAlignment="1">
      <alignment horizontal="left" vertical="center" indent="1"/>
    </xf>
    <xf numFmtId="164" fontId="32" fillId="77" borderId="38" xfId="0" applyNumberFormat="1" applyFont="1" applyFill="1" applyBorder="1" applyAlignment="1">
      <alignment vertical="center"/>
    </xf>
    <xf numFmtId="164" fontId="30" fillId="77" borderId="38" xfId="0" applyNumberFormat="1" applyFont="1" applyFill="1" applyBorder="1" applyAlignment="1">
      <alignment vertical="center"/>
    </xf>
    <xf numFmtId="164" fontId="34" fillId="77" borderId="94" xfId="0" applyNumberFormat="1" applyFont="1" applyFill="1" applyBorder="1" applyAlignment="1">
      <alignment horizontal="center" vertical="center"/>
    </xf>
    <xf numFmtId="12" fontId="4" fillId="78" borderId="13" xfId="0" applyNumberFormat="1" applyFont="1" applyFill="1" applyBorder="1" applyAlignment="1">
      <alignment horizontal="center" vertical="center" wrapText="1"/>
    </xf>
    <xf numFmtId="164" fontId="34" fillId="77" borderId="99" xfId="0" applyNumberFormat="1" applyFont="1" applyFill="1" applyBorder="1" applyAlignment="1">
      <alignment vertical="center"/>
    </xf>
    <xf numFmtId="164" fontId="34" fillId="77" borderId="100" xfId="0" applyNumberFormat="1" applyFont="1" applyFill="1" applyBorder="1" applyAlignment="1">
      <alignment vertical="center"/>
    </xf>
    <xf numFmtId="164" fontId="34" fillId="77" borderId="98" xfId="0" applyNumberFormat="1" applyFont="1" applyFill="1" applyBorder="1" applyAlignment="1">
      <alignment vertical="center"/>
    </xf>
    <xf numFmtId="164" fontId="6" fillId="75" borderId="99" xfId="0" applyNumberFormat="1" applyFont="1" applyFill="1" applyBorder="1" applyAlignment="1">
      <alignment horizontal="right" vertical="center"/>
    </xf>
    <xf numFmtId="164" fontId="6" fillId="75" borderId="98" xfId="0" applyNumberFormat="1" applyFont="1" applyFill="1" applyBorder="1" applyAlignment="1">
      <alignment horizontal="right" vertical="center"/>
    </xf>
    <xf numFmtId="164" fontId="34" fillId="74" borderId="99" xfId="0" applyNumberFormat="1" applyFont="1" applyFill="1" applyBorder="1" applyAlignment="1">
      <alignment horizontal="right" vertical="center"/>
    </xf>
    <xf numFmtId="164" fontId="34" fillId="73" borderId="99" xfId="0" applyNumberFormat="1" applyFont="1" applyFill="1" applyBorder="1" applyAlignment="1">
      <alignment horizontal="right" vertical="center"/>
    </xf>
    <xf numFmtId="164" fontId="34" fillId="74" borderId="98" xfId="0" applyNumberFormat="1" applyFont="1" applyFill="1" applyBorder="1" applyAlignment="1">
      <alignment horizontal="right" vertical="center"/>
    </xf>
    <xf numFmtId="164" fontId="32" fillId="76" borderId="94" xfId="0" applyNumberFormat="1" applyFont="1" applyFill="1" applyBorder="1" applyAlignment="1">
      <alignment horizontal="center" vertical="center"/>
    </xf>
    <xf numFmtId="164" fontId="32" fillId="76" borderId="97" xfId="0" applyNumberFormat="1" applyFont="1" applyFill="1" applyBorder="1" applyAlignment="1">
      <alignment horizontal="center" vertical="center"/>
    </xf>
    <xf numFmtId="164" fontId="32" fillId="76" borderId="100" xfId="0" applyNumberFormat="1" applyFont="1" applyFill="1" applyBorder="1" applyAlignment="1">
      <alignment horizontal="right" vertical="center"/>
    </xf>
    <xf numFmtId="164" fontId="32" fillId="76" borderId="101" xfId="0" applyNumberFormat="1" applyFont="1" applyFill="1" applyBorder="1" applyAlignment="1">
      <alignment horizontal="right" vertical="center"/>
    </xf>
    <xf numFmtId="164" fontId="34" fillId="76" borderId="24" xfId="0" applyNumberFormat="1" applyFont="1" applyFill="1" applyBorder="1" applyAlignment="1">
      <alignment horizontal="center" vertical="center"/>
    </xf>
    <xf numFmtId="164" fontId="34" fillId="76" borderId="99" xfId="0" applyNumberFormat="1" applyFont="1" applyFill="1" applyBorder="1" applyAlignment="1">
      <alignment horizontal="right" vertical="center"/>
    </xf>
    <xf numFmtId="164" fontId="34" fillId="76" borderId="100" xfId="0" applyNumberFormat="1" applyFont="1" applyFill="1" applyBorder="1" applyAlignment="1">
      <alignment horizontal="right" vertical="center"/>
    </xf>
    <xf numFmtId="164" fontId="34" fillId="76" borderId="98" xfId="0" applyNumberFormat="1" applyFont="1" applyFill="1" applyBorder="1" applyAlignment="1">
      <alignment horizontal="right" vertical="center"/>
    </xf>
    <xf numFmtId="164" fontId="34" fillId="75" borderId="99" xfId="0" applyNumberFormat="1" applyFont="1" applyFill="1" applyBorder="1" applyAlignment="1">
      <alignment horizontal="right" vertical="center"/>
    </xf>
    <xf numFmtId="164" fontId="34" fillId="75" borderId="100" xfId="0" applyNumberFormat="1" applyFont="1" applyFill="1" applyBorder="1" applyAlignment="1">
      <alignment horizontal="right" vertical="center"/>
    </xf>
    <xf numFmtId="164" fontId="34" fillId="75" borderId="98" xfId="0" applyNumberFormat="1" applyFont="1" applyFill="1" applyBorder="1" applyAlignment="1">
      <alignment horizontal="right" vertical="center"/>
    </xf>
    <xf numFmtId="164" fontId="35" fillId="74" borderId="99" xfId="0" applyNumberFormat="1" applyFont="1" applyFill="1" applyBorder="1" applyAlignment="1">
      <alignment horizontal="right" vertical="center"/>
    </xf>
    <xf numFmtId="164" fontId="34" fillId="77" borderId="18" xfId="0" applyNumberFormat="1" applyFont="1" applyFill="1" applyBorder="1" applyAlignment="1">
      <alignment horizontal="right" vertical="center"/>
    </xf>
    <xf numFmtId="164" fontId="34" fillId="77" borderId="38" xfId="0" applyNumberFormat="1" applyFont="1" applyFill="1" applyBorder="1" applyAlignment="1">
      <alignment horizontal="right" vertical="center"/>
    </xf>
    <xf numFmtId="164" fontId="35" fillId="76" borderId="38" xfId="0" applyNumberFormat="1" applyFont="1" applyFill="1" applyBorder="1" applyAlignment="1">
      <alignment vertical="center"/>
    </xf>
    <xf numFmtId="164" fontId="35" fillId="76" borderId="63" xfId="0" applyNumberFormat="1" applyFont="1" applyFill="1" applyBorder="1" applyAlignment="1">
      <alignment vertical="center"/>
    </xf>
    <xf numFmtId="164" fontId="34" fillId="76" borderId="18" xfId="0" applyNumberFormat="1" applyFont="1" applyFill="1" applyBorder="1" applyAlignment="1">
      <alignment vertical="center"/>
    </xf>
    <xf numFmtId="164" fontId="34" fillId="76" borderId="38" xfId="0" applyNumberFormat="1" applyFont="1" applyFill="1" applyBorder="1" applyAlignment="1">
      <alignment vertical="center"/>
    </xf>
    <xf numFmtId="164" fontId="34" fillId="75" borderId="18" xfId="0" applyNumberFormat="1" applyFont="1" applyFill="1" applyBorder="1" applyAlignment="1">
      <alignment vertical="center"/>
    </xf>
    <xf numFmtId="164" fontId="34" fillId="75" borderId="38" xfId="0" applyNumberFormat="1" applyFont="1" applyFill="1" applyBorder="1" applyAlignment="1">
      <alignment vertical="center"/>
    </xf>
    <xf numFmtId="164" fontId="34" fillId="74" borderId="18" xfId="0" applyNumberFormat="1" applyFont="1" applyFill="1" applyBorder="1" applyAlignment="1">
      <alignment vertical="center"/>
    </xf>
    <xf numFmtId="164" fontId="34" fillId="74" borderId="38" xfId="0" applyNumberFormat="1" applyFont="1" applyFill="1" applyBorder="1" applyAlignment="1">
      <alignment vertical="center"/>
    </xf>
    <xf numFmtId="164" fontId="34" fillId="72" borderId="21" xfId="0" applyNumberFormat="1" applyFont="1" applyFill="1" applyBorder="1" applyAlignment="1">
      <alignment vertical="center"/>
    </xf>
    <xf numFmtId="164" fontId="34" fillId="72" borderId="39" xfId="0" applyNumberFormat="1" applyFont="1" applyFill="1" applyBorder="1" applyAlignment="1">
      <alignment vertical="center"/>
    </xf>
    <xf numFmtId="164" fontId="34" fillId="72" borderId="50" xfId="0" applyNumberFormat="1" applyFont="1" applyFill="1" applyBorder="1" applyAlignment="1">
      <alignment vertical="center"/>
    </xf>
    <xf numFmtId="164" fontId="37" fillId="72" borderId="38" xfId="0" applyNumberFormat="1" applyFont="1" applyFill="1" applyBorder="1" applyAlignment="1">
      <alignment horizontal="right" vertical="center" indent="1"/>
    </xf>
    <xf numFmtId="12" fontId="4" fillId="78" borderId="90" xfId="0" applyNumberFormat="1" applyFont="1" applyFill="1" applyBorder="1" applyAlignment="1">
      <alignment horizontal="center" vertical="center"/>
    </xf>
    <xf numFmtId="164" fontId="6" fillId="73" borderId="16" xfId="0" applyNumberFormat="1" applyFont="1" applyFill="1" applyBorder="1" applyAlignment="1">
      <alignment horizontal="right" vertical="center" indent="1"/>
    </xf>
    <xf numFmtId="164" fontId="6" fillId="73" borderId="30" xfId="0" applyNumberFormat="1" applyFont="1" applyFill="1" applyBorder="1" applyAlignment="1">
      <alignment horizontal="right" vertical="center" indent="1"/>
    </xf>
    <xf numFmtId="164" fontId="6" fillId="73" borderId="34" xfId="0" applyNumberFormat="1" applyFont="1" applyFill="1" applyBorder="1" applyAlignment="1">
      <alignment horizontal="right" vertical="center" indent="1"/>
    </xf>
    <xf numFmtId="164" fontId="39" fillId="73" borderId="89" xfId="0" applyNumberFormat="1" applyFont="1" applyFill="1" applyBorder="1" applyAlignment="1">
      <alignment horizontal="right" vertical="center" indent="1"/>
    </xf>
    <xf numFmtId="164" fontId="32" fillId="77" borderId="19" xfId="0" applyNumberFormat="1" applyFont="1" applyFill="1" applyBorder="1" applyAlignment="1">
      <alignment vertical="center"/>
    </xf>
    <xf numFmtId="164" fontId="32" fillId="77" borderId="93" xfId="0" applyNumberFormat="1" applyFont="1" applyFill="1" applyBorder="1" applyAlignment="1">
      <alignment vertical="center"/>
    </xf>
    <xf numFmtId="164" fontId="34" fillId="77" borderId="102" xfId="0" applyNumberFormat="1" applyFont="1" applyFill="1" applyBorder="1" applyAlignment="1">
      <alignment vertical="center"/>
    </xf>
    <xf numFmtId="164" fontId="34" fillId="77" borderId="103" xfId="0" applyNumberFormat="1" applyFont="1" applyFill="1" applyBorder="1" applyAlignment="1">
      <alignment vertical="center"/>
    </xf>
    <xf numFmtId="164" fontId="34" fillId="77" borderId="104" xfId="0" applyNumberFormat="1" applyFont="1" applyFill="1" applyBorder="1" applyAlignment="1">
      <alignment vertical="center"/>
    </xf>
    <xf numFmtId="164" fontId="34" fillId="77" borderId="105" xfId="0" applyNumberFormat="1" applyFont="1" applyFill="1" applyBorder="1" applyAlignment="1">
      <alignment horizontal="center" vertical="center"/>
    </xf>
    <xf numFmtId="164" fontId="34" fillId="77" borderId="106" xfId="0" applyNumberFormat="1" applyFont="1" applyFill="1" applyBorder="1" applyAlignment="1">
      <alignment horizontal="center" vertical="center"/>
    </xf>
    <xf numFmtId="164" fontId="34" fillId="77" borderId="107" xfId="0" applyNumberFormat="1" applyFont="1" applyFill="1" applyBorder="1" applyAlignment="1">
      <alignment horizontal="center" vertical="center"/>
    </xf>
    <xf numFmtId="164" fontId="32" fillId="75" borderId="19" xfId="0" applyNumberFormat="1" applyFont="1" applyFill="1" applyBorder="1" applyAlignment="1">
      <alignment horizontal="right" vertical="center"/>
    </xf>
    <xf numFmtId="164" fontId="6" fillId="75" borderId="102" xfId="0" applyNumberFormat="1" applyFont="1" applyFill="1" applyBorder="1" applyAlignment="1">
      <alignment horizontal="right" vertical="center"/>
    </xf>
    <xf numFmtId="164" fontId="6" fillId="75" borderId="105" xfId="0" applyNumberFormat="1" applyFont="1" applyFill="1" applyBorder="1" applyAlignment="1">
      <alignment horizontal="center" vertical="center"/>
    </xf>
    <xf numFmtId="164" fontId="34" fillId="77" borderId="109" xfId="0" applyNumberFormat="1" applyFont="1" applyFill="1" applyBorder="1" applyAlignment="1">
      <alignment vertical="center"/>
    </xf>
    <xf numFmtId="164" fontId="34" fillId="77" borderId="110" xfId="0" applyNumberFormat="1" applyFont="1" applyFill="1" applyBorder="1" applyAlignment="1">
      <alignment vertical="center"/>
    </xf>
    <xf numFmtId="164" fontId="34" fillId="77" borderId="108" xfId="0" applyNumberFormat="1" applyFont="1" applyFill="1" applyBorder="1" applyAlignment="1">
      <alignment vertical="center"/>
    </xf>
    <xf numFmtId="164" fontId="6" fillId="75" borderId="109" xfId="0" applyNumberFormat="1" applyFont="1" applyFill="1" applyBorder="1" applyAlignment="1">
      <alignment vertical="center"/>
    </xf>
    <xf numFmtId="164" fontId="6" fillId="75" borderId="99" xfId="0" applyNumberFormat="1" applyFont="1" applyFill="1" applyBorder="1" applyAlignment="1">
      <alignment vertical="center"/>
    </xf>
    <xf numFmtId="164" fontId="6" fillId="75" borderId="98" xfId="0" applyNumberFormat="1" applyFont="1" applyFill="1" applyBorder="1" applyAlignment="1">
      <alignment vertical="center"/>
    </xf>
    <xf numFmtId="164" fontId="34" fillId="73" borderId="99" xfId="0" applyNumberFormat="1" applyFont="1" applyFill="1" applyBorder="1" applyAlignment="1">
      <alignment vertical="center"/>
    </xf>
    <xf numFmtId="164" fontId="34" fillId="74" borderId="99" xfId="0" applyNumberFormat="1" applyFont="1" applyFill="1" applyBorder="1" applyAlignment="1">
      <alignment vertical="center"/>
    </xf>
    <xf numFmtId="164" fontId="34" fillId="73" borderId="98" xfId="0" applyNumberFormat="1" applyFont="1" applyFill="1" applyBorder="1" applyAlignment="1">
      <alignment vertical="center"/>
    </xf>
    <xf numFmtId="164" fontId="32" fillId="73" borderId="100" xfId="0" applyNumberFormat="1" applyFont="1" applyFill="1" applyBorder="1" applyAlignment="1">
      <alignment vertical="center"/>
    </xf>
    <xf numFmtId="164" fontId="32" fillId="73" borderId="101" xfId="0" applyNumberFormat="1" applyFont="1" applyFill="1" applyBorder="1" applyAlignment="1">
      <alignment vertical="center"/>
    </xf>
    <xf numFmtId="164" fontId="34" fillId="73" borderId="100" xfId="0" applyNumberFormat="1" applyFont="1" applyFill="1" applyBorder="1" applyAlignment="1">
      <alignment vertical="center"/>
    </xf>
    <xf numFmtId="164" fontId="34" fillId="76" borderId="98" xfId="0" applyNumberFormat="1" applyFont="1" applyFill="1" applyBorder="1" applyAlignment="1">
      <alignment vertical="center"/>
    </xf>
    <xf numFmtId="164" fontId="34" fillId="75" borderId="99" xfId="0" applyNumberFormat="1" applyFont="1" applyFill="1" applyBorder="1" applyAlignment="1">
      <alignment vertical="center"/>
    </xf>
    <xf numFmtId="164" fontId="6" fillId="75" borderId="111" xfId="0" applyNumberFormat="1" applyFont="1" applyFill="1" applyBorder="1" applyAlignment="1">
      <alignment horizontal="right" vertical="center"/>
    </xf>
    <xf numFmtId="164" fontId="6" fillId="75" borderId="112" xfId="0" applyNumberFormat="1" applyFont="1" applyFill="1" applyBorder="1" applyAlignment="1">
      <alignment horizontal="right" vertical="center"/>
    </xf>
    <xf numFmtId="164" fontId="32" fillId="76" borderId="113" xfId="0" applyNumberFormat="1" applyFont="1" applyFill="1" applyBorder="1" applyAlignment="1">
      <alignment horizontal="right" vertical="center"/>
    </xf>
    <xf numFmtId="164" fontId="32" fillId="76" borderId="114" xfId="0" applyNumberFormat="1" applyFont="1" applyFill="1" applyBorder="1" applyAlignment="1">
      <alignment horizontal="right" vertical="center"/>
    </xf>
    <xf numFmtId="164" fontId="34" fillId="76" borderId="111" xfId="0" applyNumberFormat="1" applyFont="1" applyFill="1" applyBorder="1" applyAlignment="1">
      <alignment horizontal="right" vertical="center"/>
    </xf>
    <xf numFmtId="164" fontId="34" fillId="76" borderId="113" xfId="0" applyNumberFormat="1" applyFont="1" applyFill="1" applyBorder="1" applyAlignment="1">
      <alignment horizontal="right" vertical="center"/>
    </xf>
    <xf numFmtId="164" fontId="34" fillId="76" borderId="112" xfId="0" applyNumberFormat="1" applyFont="1" applyFill="1" applyBorder="1" applyAlignment="1">
      <alignment horizontal="right" vertical="center"/>
    </xf>
    <xf numFmtId="164" fontId="34" fillId="75" borderId="111" xfId="0" applyNumberFormat="1" applyFont="1" applyFill="1" applyBorder="1" applyAlignment="1">
      <alignment horizontal="right" vertical="center"/>
    </xf>
    <xf numFmtId="164" fontId="34" fillId="75" borderId="113" xfId="0" applyNumberFormat="1" applyFont="1" applyFill="1" applyBorder="1" applyAlignment="1">
      <alignment horizontal="right" vertical="center"/>
    </xf>
    <xf numFmtId="164" fontId="34" fillId="75" borderId="112" xfId="0" applyNumberFormat="1" applyFont="1" applyFill="1" applyBorder="1" applyAlignment="1">
      <alignment horizontal="right" vertical="center"/>
    </xf>
    <xf numFmtId="164" fontId="34" fillId="74" borderId="111" xfId="0" applyNumberFormat="1" applyFont="1" applyFill="1" applyBorder="1" applyAlignment="1">
      <alignment horizontal="right" vertical="center"/>
    </xf>
    <xf numFmtId="164" fontId="34" fillId="74" borderId="112" xfId="0" applyNumberFormat="1" applyFont="1" applyFill="1" applyBorder="1" applyAlignment="1">
      <alignment horizontal="right" vertical="center"/>
    </xf>
    <xf numFmtId="164" fontId="34" fillId="77" borderId="99" xfId="0" applyNumberFormat="1" applyFont="1" applyFill="1" applyBorder="1" applyAlignment="1">
      <alignment horizontal="right" vertical="center"/>
    </xf>
    <xf numFmtId="164" fontId="34" fillId="77" borderId="100" xfId="0" applyNumberFormat="1" applyFont="1" applyFill="1" applyBorder="1" applyAlignment="1">
      <alignment horizontal="right" vertical="center"/>
    </xf>
    <xf numFmtId="164" fontId="34" fillId="77" borderId="98" xfId="0" applyNumberFormat="1" applyFont="1" applyFill="1" applyBorder="1" applyAlignment="1">
      <alignment horizontal="right" vertical="center"/>
    </xf>
    <xf numFmtId="164" fontId="35" fillId="76" borderId="94" xfId="0" applyNumberFormat="1" applyFont="1" applyFill="1" applyBorder="1" applyAlignment="1">
      <alignment horizontal="center" vertical="center"/>
    </xf>
    <xf numFmtId="164" fontId="35" fillId="76" borderId="97" xfId="0" applyNumberFormat="1" applyFont="1" applyFill="1" applyBorder="1" applyAlignment="1">
      <alignment horizontal="center" vertical="center"/>
    </xf>
    <xf numFmtId="164" fontId="35" fillId="76" borderId="113" xfId="0" applyNumberFormat="1" applyFont="1" applyFill="1" applyBorder="1" applyAlignment="1">
      <alignment vertical="center"/>
    </xf>
    <xf numFmtId="164" fontId="35" fillId="76" borderId="114" xfId="0" applyNumberFormat="1" applyFont="1" applyFill="1" applyBorder="1" applyAlignment="1">
      <alignment vertical="center"/>
    </xf>
    <xf numFmtId="164" fontId="34" fillId="76" borderId="111" xfId="0" applyNumberFormat="1" applyFont="1" applyFill="1" applyBorder="1" applyAlignment="1">
      <alignment vertical="center"/>
    </xf>
    <xf numFmtId="164" fontId="34" fillId="76" borderId="113" xfId="0" applyNumberFormat="1" applyFont="1" applyFill="1" applyBorder="1" applyAlignment="1">
      <alignment vertical="center"/>
    </xf>
    <xf numFmtId="164" fontId="34" fillId="76" borderId="112" xfId="0" applyNumberFormat="1" applyFont="1" applyFill="1" applyBorder="1" applyAlignment="1">
      <alignment vertical="center"/>
    </xf>
    <xf numFmtId="164" fontId="34" fillId="75" borderId="100" xfId="0" applyNumberFormat="1" applyFont="1" applyFill="1" applyBorder="1" applyAlignment="1">
      <alignment vertical="center"/>
    </xf>
    <xf numFmtId="164" fontId="34" fillId="75" borderId="111" xfId="0" applyNumberFormat="1" applyFont="1" applyFill="1" applyBorder="1" applyAlignment="1">
      <alignment vertical="center"/>
    </xf>
    <xf numFmtId="164" fontId="34" fillId="75" borderId="113" xfId="0" applyNumberFormat="1" applyFont="1" applyFill="1" applyBorder="1" applyAlignment="1">
      <alignment vertical="center"/>
    </xf>
    <xf numFmtId="164" fontId="34" fillId="75" borderId="112" xfId="0" applyNumberFormat="1" applyFont="1" applyFill="1" applyBorder="1" applyAlignment="1">
      <alignment vertical="center"/>
    </xf>
    <xf numFmtId="164" fontId="34" fillId="74" borderId="111" xfId="0" applyNumberFormat="1" applyFont="1" applyFill="1" applyBorder="1" applyAlignment="1">
      <alignment vertical="center"/>
    </xf>
    <xf numFmtId="164" fontId="34" fillId="74" borderId="112" xfId="0" applyNumberFormat="1" applyFont="1" applyFill="1" applyBorder="1" applyAlignment="1">
      <alignment vertical="center"/>
    </xf>
    <xf numFmtId="164" fontId="22" fillId="28" borderId="38" xfId="0" applyNumberFormat="1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54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48" xfId="0" applyFont="1" applyFill="1" applyBorder="1" applyAlignment="1">
      <alignment horizontal="center" vertical="center"/>
    </xf>
    <xf numFmtId="12" fontId="4" fillId="4" borderId="4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164" fontId="4" fillId="4" borderId="9" xfId="0" applyNumberFormat="1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164" fontId="12" fillId="4" borderId="27" xfId="0" applyNumberFormat="1" applyFont="1" applyFill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3" fillId="4" borderId="36" xfId="0" applyFont="1" applyFill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164" fontId="4" fillId="7" borderId="55" xfId="0" applyNumberFormat="1" applyFont="1" applyFill="1" applyBorder="1" applyAlignment="1">
      <alignment horizontal="center" vertical="center"/>
    </xf>
    <xf numFmtId="0" fontId="5" fillId="0" borderId="56" xfId="0" applyFont="1" applyBorder="1" applyAlignment="1">
      <alignment vertical="center"/>
    </xf>
    <xf numFmtId="164" fontId="12" fillId="4" borderId="45" xfId="0" applyNumberFormat="1" applyFont="1" applyFill="1" applyBorder="1" applyAlignment="1">
      <alignment vertical="center"/>
    </xf>
    <xf numFmtId="164" fontId="12" fillId="4" borderId="42" xfId="0" applyNumberFormat="1" applyFont="1" applyFill="1" applyBorder="1" applyAlignment="1">
      <alignment vertical="center"/>
    </xf>
    <xf numFmtId="164" fontId="12" fillId="4" borderId="46" xfId="0" applyNumberFormat="1" applyFont="1" applyFill="1" applyBorder="1" applyAlignment="1">
      <alignment vertical="center"/>
    </xf>
    <xf numFmtId="164" fontId="12" fillId="4" borderId="12" xfId="0" applyNumberFormat="1" applyFont="1" applyFill="1" applyBorder="1" applyAlignment="1">
      <alignment vertical="center"/>
    </xf>
    <xf numFmtId="164" fontId="12" fillId="4" borderId="13" xfId="0" applyNumberFormat="1" applyFont="1" applyFill="1" applyBorder="1" applyAlignment="1">
      <alignment vertical="center"/>
    </xf>
    <xf numFmtId="164" fontId="12" fillId="4" borderId="14" xfId="0" applyNumberFormat="1" applyFont="1" applyFill="1" applyBorder="1" applyAlignment="1">
      <alignment vertical="center"/>
    </xf>
    <xf numFmtId="164" fontId="21" fillId="56" borderId="85" xfId="0" applyNumberFormat="1" applyFont="1" applyFill="1" applyBorder="1" applyAlignment="1">
      <alignment horizontal="center" vertical="center"/>
    </xf>
    <xf numFmtId="164" fontId="22" fillId="56" borderId="85" xfId="0" applyNumberFormat="1" applyFont="1" applyFill="1" applyBorder="1" applyAlignment="1">
      <alignment horizontal="center" vertical="center"/>
    </xf>
    <xf numFmtId="164" fontId="22" fillId="58" borderId="96" xfId="0" applyNumberFormat="1" applyFont="1" applyFill="1" applyBorder="1" applyAlignment="1">
      <alignment horizontal="center" vertical="center"/>
    </xf>
    <xf numFmtId="164" fontId="22" fillId="60" borderId="85" xfId="0" applyNumberFormat="1" applyFont="1" applyFill="1" applyBorder="1" applyAlignment="1">
      <alignment horizontal="center" vertical="center"/>
    </xf>
    <xf numFmtId="164" fontId="22" fillId="58" borderId="42" xfId="0" applyNumberFormat="1" applyFont="1" applyFill="1" applyBorder="1" applyAlignment="1">
      <alignment horizontal="center" vertical="center"/>
    </xf>
    <xf numFmtId="164" fontId="21" fillId="59" borderId="71" xfId="0" applyNumberFormat="1" applyFont="1" applyFill="1" applyBorder="1" applyAlignment="1">
      <alignment horizontal="center" vertical="center"/>
    </xf>
    <xf numFmtId="164" fontId="37" fillId="72" borderId="95" xfId="0" applyNumberFormat="1" applyFont="1" applyFill="1" applyBorder="1" applyAlignment="1">
      <alignment horizontal="center" vertical="center"/>
    </xf>
    <xf numFmtId="164" fontId="37" fillId="72" borderId="41" xfId="0" applyNumberFormat="1" applyFont="1" applyFill="1" applyBorder="1" applyAlignment="1">
      <alignment horizontal="center" vertical="center"/>
    </xf>
    <xf numFmtId="164" fontId="36" fillId="63" borderId="42" xfId="0" applyNumberFormat="1" applyFont="1" applyFill="1" applyBorder="1" applyAlignment="1">
      <alignment horizontal="center" vertical="center"/>
    </xf>
    <xf numFmtId="164" fontId="38" fillId="29" borderId="92" xfId="0" applyNumberFormat="1" applyFont="1" applyFill="1" applyBorder="1" applyAlignment="1">
      <alignment horizontal="center" vertical="center"/>
    </xf>
    <xf numFmtId="164" fontId="38" fillId="29" borderId="48" xfId="0" applyNumberFormat="1" applyFont="1" applyFill="1" applyBorder="1" applyAlignment="1">
      <alignment horizontal="center" vertical="center"/>
    </xf>
    <xf numFmtId="164" fontId="22" fillId="68" borderId="42" xfId="0" applyNumberFormat="1" applyFont="1" applyFill="1" applyBorder="1" applyAlignment="1">
      <alignment horizontal="center" vertical="center"/>
    </xf>
    <xf numFmtId="164" fontId="34" fillId="72" borderId="19" xfId="0" applyNumberFormat="1" applyFont="1" applyFill="1" applyBorder="1" applyAlignment="1">
      <alignment horizontal="center" vertical="center"/>
    </xf>
    <xf numFmtId="164" fontId="34" fillId="72" borderId="24" xfId="0" applyNumberFormat="1" applyFont="1" applyFill="1" applyBorder="1" applyAlignment="1">
      <alignment horizontal="center" vertical="center"/>
    </xf>
    <xf numFmtId="164" fontId="34" fillId="72" borderId="93" xfId="0" applyNumberFormat="1" applyFont="1" applyFill="1" applyBorder="1" applyAlignment="1">
      <alignment horizontal="center" vertical="center"/>
    </xf>
    <xf numFmtId="164" fontId="34" fillId="72" borderId="94" xfId="0" applyNumberFormat="1" applyFont="1" applyFill="1" applyBorder="1" applyAlignment="1">
      <alignment horizontal="center" vertical="center"/>
    </xf>
    <xf numFmtId="164" fontId="38" fillId="29" borderId="95" xfId="0" applyNumberFormat="1" applyFont="1" applyFill="1" applyBorder="1" applyAlignment="1">
      <alignment horizontal="center" vertical="center"/>
    </xf>
    <xf numFmtId="164" fontId="38" fillId="29" borderId="41" xfId="0" applyNumberFormat="1" applyFont="1" applyFill="1" applyBorder="1" applyAlignment="1">
      <alignment horizontal="center" vertical="center"/>
    </xf>
    <xf numFmtId="164" fontId="4" fillId="29" borderId="19" xfId="0" applyNumberFormat="1" applyFont="1" applyFill="1" applyBorder="1" applyAlignment="1">
      <alignment horizontal="center" vertical="center"/>
    </xf>
    <xf numFmtId="164" fontId="4" fillId="29" borderId="24" xfId="0" applyNumberFormat="1" applyFont="1" applyFill="1" applyBorder="1" applyAlignment="1">
      <alignment horizontal="center" vertical="center"/>
    </xf>
    <xf numFmtId="164" fontId="4" fillId="29" borderId="93" xfId="0" applyNumberFormat="1" applyFont="1" applyFill="1" applyBorder="1" applyAlignment="1">
      <alignment horizontal="center" vertical="center"/>
    </xf>
    <xf numFmtId="164" fontId="4" fillId="29" borderId="94" xfId="0" applyNumberFormat="1" applyFont="1" applyFill="1" applyBorder="1" applyAlignment="1">
      <alignment horizontal="center" vertical="center"/>
    </xf>
    <xf numFmtId="164" fontId="9" fillId="63" borderId="42" xfId="0" applyNumberFormat="1" applyFont="1" applyFill="1" applyBorder="1" applyAlignment="1">
      <alignment horizontal="center" vertical="center"/>
    </xf>
    <xf numFmtId="164" fontId="38" fillId="16" borderId="92" xfId="0" applyNumberFormat="1" applyFont="1" applyFill="1" applyBorder="1" applyAlignment="1">
      <alignment horizontal="center" vertical="center"/>
    </xf>
    <xf numFmtId="164" fontId="38" fillId="16" borderId="48" xfId="0" applyNumberFormat="1" applyFont="1" applyFill="1" applyBorder="1" applyAlignment="1">
      <alignment horizontal="center" vertical="center"/>
    </xf>
    <xf numFmtId="12" fontId="4" fillId="32" borderId="3" xfId="0" applyNumberFormat="1" applyFont="1" applyFill="1" applyBorder="1" applyAlignment="1">
      <alignment horizontal="center" vertical="center" wrapText="1"/>
    </xf>
    <xf numFmtId="12" fontId="4" fillId="32" borderId="33" xfId="0" applyNumberFormat="1" applyFont="1" applyFill="1" applyBorder="1" applyAlignment="1">
      <alignment horizontal="center" vertical="center" wrapText="1"/>
    </xf>
    <xf numFmtId="0" fontId="43" fillId="48" borderId="43" xfId="0" applyFont="1" applyFill="1" applyBorder="1" applyAlignment="1">
      <alignment horizontal="left" vertical="center" indent="2"/>
    </xf>
    <xf numFmtId="0" fontId="43" fillId="48" borderId="22" xfId="0" applyFont="1" applyFill="1" applyBorder="1" applyAlignment="1">
      <alignment horizontal="left" vertical="center" indent="2"/>
    </xf>
    <xf numFmtId="0" fontId="43" fillId="48" borderId="24" xfId="0" applyFont="1" applyFill="1" applyBorder="1" applyAlignment="1">
      <alignment horizontal="left" vertical="center" indent="2"/>
    </xf>
    <xf numFmtId="0" fontId="41" fillId="49" borderId="44" xfId="0" applyFont="1" applyFill="1" applyBorder="1" applyAlignment="1">
      <alignment horizontal="left" vertical="center" indent="2"/>
    </xf>
    <xf numFmtId="0" fontId="41" fillId="49" borderId="40" xfId="0" applyFont="1" applyFill="1" applyBorder="1" applyAlignment="1">
      <alignment horizontal="left" vertical="center" indent="2"/>
    </xf>
    <xf numFmtId="0" fontId="41" fillId="49" borderId="41" xfId="0" applyFont="1" applyFill="1" applyBorder="1" applyAlignment="1">
      <alignment horizontal="left" vertical="center" indent="2"/>
    </xf>
    <xf numFmtId="12" fontId="4" fillId="4" borderId="47" xfId="0" applyNumberFormat="1" applyFont="1" applyFill="1" applyBorder="1" applyAlignment="1">
      <alignment horizontal="center" vertical="center"/>
    </xf>
    <xf numFmtId="0" fontId="5" fillId="0" borderId="46" xfId="0" applyFont="1" applyBorder="1" applyAlignment="1">
      <alignment vertical="center"/>
    </xf>
    <xf numFmtId="0" fontId="5" fillId="0" borderId="86" xfId="0" applyFont="1" applyBorder="1" applyAlignment="1">
      <alignment vertical="center"/>
    </xf>
    <xf numFmtId="164" fontId="22" fillId="34" borderId="43" xfId="0" applyNumberFormat="1" applyFont="1" applyFill="1" applyBorder="1" applyAlignment="1">
      <alignment horizontal="center" vertical="center"/>
    </xf>
    <xf numFmtId="164" fontId="22" fillId="34" borderId="22" xfId="0" applyNumberFormat="1" applyFont="1" applyFill="1" applyBorder="1" applyAlignment="1">
      <alignment horizontal="center" vertical="center"/>
    </xf>
    <xf numFmtId="164" fontId="22" fillId="34" borderId="34" xfId="0" applyNumberFormat="1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vertical="center"/>
    </xf>
    <xf numFmtId="0" fontId="3" fillId="4" borderId="45" xfId="0" applyFont="1" applyFill="1" applyBorder="1" applyAlignment="1">
      <alignment vertical="center"/>
    </xf>
    <xf numFmtId="0" fontId="41" fillId="62" borderId="7" xfId="0" applyFont="1" applyFill="1" applyBorder="1" applyAlignment="1">
      <alignment horizontal="left" vertical="center" indent="2"/>
    </xf>
    <xf numFmtId="0" fontId="41" fillId="62" borderId="8" xfId="0" applyFont="1" applyFill="1" applyBorder="1" applyAlignment="1">
      <alignment horizontal="left" vertical="center" indent="2"/>
    </xf>
    <xf numFmtId="0" fontId="41" fillId="62" borderId="54" xfId="0" applyFont="1" applyFill="1" applyBorder="1" applyAlignment="1">
      <alignment horizontal="left" vertical="center" indent="2"/>
    </xf>
    <xf numFmtId="0" fontId="41" fillId="62" borderId="12" xfId="0" applyFont="1" applyFill="1" applyBorder="1" applyAlignment="1">
      <alignment horizontal="left" vertical="center" indent="2"/>
    </xf>
    <xf numFmtId="0" fontId="41" fillId="62" borderId="13" xfId="0" applyFont="1" applyFill="1" applyBorder="1" applyAlignment="1">
      <alignment horizontal="left" vertical="center" indent="2"/>
    </xf>
    <xf numFmtId="0" fontId="41" fillId="62" borderId="48" xfId="0" applyFont="1" applyFill="1" applyBorder="1" applyAlignment="1">
      <alignment horizontal="left" vertical="center" indent="2"/>
    </xf>
    <xf numFmtId="164" fontId="22" fillId="28" borderId="12" xfId="0" applyNumberFormat="1" applyFont="1" applyFill="1" applyBorder="1" applyAlignment="1">
      <alignment horizontal="center" vertical="center"/>
    </xf>
    <xf numFmtId="164" fontId="22" fillId="28" borderId="13" xfId="0" applyNumberFormat="1" applyFont="1" applyFill="1" applyBorder="1" applyAlignment="1">
      <alignment horizontal="center" vertical="center"/>
    </xf>
    <xf numFmtId="164" fontId="22" fillId="28" borderId="14" xfId="0" applyNumberFormat="1" applyFont="1" applyFill="1" applyBorder="1" applyAlignment="1">
      <alignment horizontal="center" vertical="center"/>
    </xf>
    <xf numFmtId="164" fontId="4" fillId="29" borderId="12" xfId="0" applyNumberFormat="1" applyFont="1" applyFill="1" applyBorder="1" applyAlignment="1">
      <alignment horizontal="center" vertical="center"/>
    </xf>
    <xf numFmtId="164" fontId="4" fillId="29" borderId="13" xfId="0" applyNumberFormat="1" applyFont="1" applyFill="1" applyBorder="1" applyAlignment="1">
      <alignment horizontal="center" vertical="center"/>
    </xf>
    <xf numFmtId="164" fontId="4" fillId="29" borderId="14" xfId="0" applyNumberFormat="1" applyFont="1" applyFill="1" applyBorder="1" applyAlignment="1">
      <alignment horizontal="center" vertical="center"/>
    </xf>
    <xf numFmtId="164" fontId="22" fillId="31" borderId="12" xfId="0" applyNumberFormat="1" applyFont="1" applyFill="1" applyBorder="1" applyAlignment="1">
      <alignment horizontal="center" vertical="center"/>
    </xf>
    <xf numFmtId="164" fontId="22" fillId="31" borderId="13" xfId="0" applyNumberFormat="1" applyFont="1" applyFill="1" applyBorder="1" applyAlignment="1">
      <alignment horizontal="center" vertical="center"/>
    </xf>
    <xf numFmtId="164" fontId="22" fillId="31" borderId="14" xfId="0" applyNumberFormat="1" applyFont="1" applyFill="1" applyBorder="1" applyAlignment="1">
      <alignment horizontal="center" vertical="center"/>
    </xf>
    <xf numFmtId="12" fontId="4" fillId="16" borderId="3" xfId="0" applyNumberFormat="1" applyFont="1" applyFill="1" applyBorder="1" applyAlignment="1">
      <alignment horizontal="center" vertical="center" wrapText="1"/>
    </xf>
    <xf numFmtId="12" fontId="4" fillId="16" borderId="33" xfId="0" applyNumberFormat="1" applyFont="1" applyFill="1" applyBorder="1" applyAlignment="1">
      <alignment horizontal="center" vertical="center" wrapText="1"/>
    </xf>
    <xf numFmtId="164" fontId="22" fillId="57" borderId="85" xfId="0" applyNumberFormat="1" applyFont="1" applyFill="1" applyBorder="1" applyAlignment="1">
      <alignment horizontal="center" vertical="center"/>
    </xf>
    <xf numFmtId="164" fontId="21" fillId="57" borderId="85" xfId="0" applyNumberFormat="1" applyFont="1" applyFill="1" applyBorder="1" applyAlignment="1">
      <alignment horizontal="center" vertical="center"/>
    </xf>
    <xf numFmtId="164" fontId="41" fillId="62" borderId="55" xfId="0" applyNumberFormat="1" applyFont="1" applyFill="1" applyBorder="1" applyAlignment="1">
      <alignment horizontal="right" vertical="center"/>
    </xf>
    <xf numFmtId="0" fontId="47" fillId="48" borderId="56" xfId="0" applyFont="1" applyFill="1" applyBorder="1" applyAlignment="1">
      <alignment horizontal="right" vertical="center"/>
    </xf>
    <xf numFmtId="164" fontId="22" fillId="29" borderId="12" xfId="0" applyNumberFormat="1" applyFont="1" applyFill="1" applyBorder="1" applyAlignment="1">
      <alignment horizontal="center" vertical="center"/>
    </xf>
    <xf numFmtId="164" fontId="22" fillId="29" borderId="13" xfId="0" applyNumberFormat="1" applyFont="1" applyFill="1" applyBorder="1" applyAlignment="1">
      <alignment horizontal="center" vertical="center"/>
    </xf>
    <xf numFmtId="164" fontId="22" fillId="29" borderId="14" xfId="0" applyNumberFormat="1" applyFont="1" applyFill="1" applyBorder="1" applyAlignment="1">
      <alignment horizontal="center" vertical="center"/>
    </xf>
    <xf numFmtId="164" fontId="22" fillId="33" borderId="12" xfId="0" applyNumberFormat="1" applyFont="1" applyFill="1" applyBorder="1" applyAlignment="1">
      <alignment horizontal="center" vertical="center"/>
    </xf>
    <xf numFmtId="164" fontId="22" fillId="33" borderId="13" xfId="0" applyNumberFormat="1" applyFont="1" applyFill="1" applyBorder="1" applyAlignment="1">
      <alignment horizontal="center" vertical="center"/>
    </xf>
    <xf numFmtId="164" fontId="22" fillId="33" borderId="14" xfId="0" applyNumberFormat="1" applyFont="1" applyFill="1" applyBorder="1" applyAlignment="1">
      <alignment horizontal="center" vertical="center"/>
    </xf>
    <xf numFmtId="164" fontId="34" fillId="73" borderId="19" xfId="0" applyNumberFormat="1" applyFont="1" applyFill="1" applyBorder="1" applyAlignment="1">
      <alignment horizontal="center" vertical="center"/>
    </xf>
    <xf numFmtId="164" fontId="34" fillId="73" borderId="24" xfId="0" applyNumberFormat="1" applyFont="1" applyFill="1" applyBorder="1" applyAlignment="1">
      <alignment horizontal="center" vertical="center"/>
    </xf>
    <xf numFmtId="164" fontId="34" fillId="73" borderId="93" xfId="0" applyNumberFormat="1" applyFont="1" applyFill="1" applyBorder="1" applyAlignment="1">
      <alignment horizontal="center" vertical="center"/>
    </xf>
    <xf numFmtId="164" fontId="34" fillId="73" borderId="94" xfId="0" applyNumberFormat="1" applyFont="1" applyFill="1" applyBorder="1" applyAlignment="1">
      <alignment horizontal="center" vertical="center"/>
    </xf>
    <xf numFmtId="164" fontId="51" fillId="61" borderId="95" xfId="0" applyNumberFormat="1" applyFont="1" applyFill="1" applyBorder="1" applyAlignment="1">
      <alignment horizontal="center" vertical="center"/>
    </xf>
    <xf numFmtId="164" fontId="51" fillId="61" borderId="41" xfId="0" applyNumberFormat="1" applyFont="1" applyFill="1" applyBorder="1" applyAlignment="1">
      <alignment horizontal="center" vertical="center"/>
    </xf>
    <xf numFmtId="164" fontId="36" fillId="64" borderId="42" xfId="0" applyNumberFormat="1" applyFont="1" applyFill="1" applyBorder="1" applyAlignment="1">
      <alignment horizontal="center" vertical="center"/>
    </xf>
    <xf numFmtId="164" fontId="51" fillId="71" borderId="95" xfId="0" applyNumberFormat="1" applyFont="1" applyFill="1" applyBorder="1" applyAlignment="1">
      <alignment horizontal="center" vertical="center"/>
    </xf>
    <xf numFmtId="164" fontId="51" fillId="71" borderId="41" xfId="0" applyNumberFormat="1" applyFont="1" applyFill="1" applyBorder="1" applyAlignment="1">
      <alignment horizontal="center" vertical="center"/>
    </xf>
    <xf numFmtId="12" fontId="4" fillId="78" borderId="22" xfId="0" applyNumberFormat="1" applyFont="1" applyFill="1" applyBorder="1" applyAlignment="1">
      <alignment horizontal="center" vertical="center" wrapText="1"/>
    </xf>
    <xf numFmtId="12" fontId="4" fillId="78" borderId="34" xfId="0" applyNumberFormat="1" applyFont="1" applyFill="1" applyBorder="1" applyAlignment="1">
      <alignment horizontal="center" vertical="center" wrapText="1"/>
    </xf>
    <xf numFmtId="12" fontId="4" fillId="78" borderId="43" xfId="0" applyNumberFormat="1" applyFont="1" applyFill="1" applyBorder="1" applyAlignment="1">
      <alignment horizontal="center" vertical="center" wrapText="1"/>
    </xf>
    <xf numFmtId="0" fontId="44" fillId="49" borderId="44" xfId="0" applyFont="1" applyFill="1" applyBorder="1" applyAlignment="1">
      <alignment horizontal="left" vertical="center" indent="2"/>
    </xf>
    <xf numFmtId="0" fontId="44" fillId="49" borderId="40" xfId="0" applyFont="1" applyFill="1" applyBorder="1" applyAlignment="1">
      <alignment horizontal="left" vertical="center" indent="2"/>
    </xf>
    <xf numFmtId="0" fontId="44" fillId="49" borderId="41" xfId="0" applyFont="1" applyFill="1" applyBorder="1" applyAlignment="1">
      <alignment horizontal="left" vertical="center" indent="2"/>
    </xf>
    <xf numFmtId="164" fontId="4" fillId="29" borderId="45" xfId="0" applyNumberFormat="1" applyFont="1" applyFill="1" applyBorder="1" applyAlignment="1">
      <alignment horizontal="center" vertical="center"/>
    </xf>
    <xf numFmtId="164" fontId="4" fillId="29" borderId="42" xfId="0" applyNumberFormat="1" applyFont="1" applyFill="1" applyBorder="1" applyAlignment="1">
      <alignment horizontal="center" vertical="center"/>
    </xf>
    <xf numFmtId="164" fontId="4" fillId="29" borderId="46" xfId="0" applyNumberFormat="1" applyFont="1" applyFill="1" applyBorder="1" applyAlignment="1">
      <alignment horizontal="center" vertical="center"/>
    </xf>
    <xf numFmtId="0" fontId="42" fillId="48" borderId="56" xfId="0" applyFont="1" applyFill="1" applyBorder="1" applyAlignment="1">
      <alignment horizontal="right" vertical="center"/>
    </xf>
    <xf numFmtId="164" fontId="34" fillId="54" borderId="12" xfId="0" applyNumberFormat="1" applyFont="1" applyFill="1" applyBorder="1" applyAlignment="1">
      <alignment horizontal="center" vertical="center"/>
    </xf>
    <xf numFmtId="164" fontId="34" fillId="54" borderId="13" xfId="0" applyNumberFormat="1" applyFont="1" applyFill="1" applyBorder="1" applyAlignment="1">
      <alignment horizontal="center" vertical="center"/>
    </xf>
    <xf numFmtId="164" fontId="34" fillId="54" borderId="48" xfId="0" applyNumberFormat="1" applyFont="1" applyFill="1" applyBorder="1" applyAlignment="1">
      <alignment horizontal="center" vertical="center"/>
    </xf>
    <xf numFmtId="164" fontId="34" fillId="54" borderId="92" xfId="0" applyNumberFormat="1" applyFont="1" applyFill="1" applyBorder="1" applyAlignment="1">
      <alignment horizontal="center" vertical="center"/>
    </xf>
    <xf numFmtId="164" fontId="34" fillId="54" borderId="14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</cellXfs>
  <cellStyles count="4">
    <cellStyle name="Normal" xfId="0" builtinId="0"/>
    <cellStyle name="Normal 2" xfId="1" xr:uid="{0172E10C-B5B3-3840-8C66-69D99EF8AE37}"/>
    <cellStyle name="Normal 3" xfId="2" xr:uid="{8865D788-7E86-1D48-A24A-0B8A8056EC63}"/>
    <cellStyle name="Normal 3 2" xfId="3" xr:uid="{4A35F2C1-BBA8-3640-A7F8-58A949847330}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7157"/>
      <color rgb="FF000000"/>
      <color rgb="FF100435"/>
      <color rgb="FFFFEA17"/>
      <color rgb="FFC823A6"/>
      <color rgb="FF6B2F07"/>
      <color rgb="FF1820F5"/>
      <color rgb="FF6700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shakerhd/Documents/House%20Items%20Exp.xlsx" TargetMode="External"/><Relationship Id="rId1" Type="http://schemas.openxmlformats.org/officeDocument/2006/relationships/externalLinkPath" Target="https://d.docs.live.net/Users/shakerhd/Documents/House%20Items%20Ex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use DECO &amp; REPAIR 25"/>
    </sheetNames>
    <sheetDataSet>
      <sheetData sheetId="0"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allis weekes" id="{AE25FF13-AFA6-D64D-8330-DF8C218BF1DA}" userId="6d325adcd8bd3b9b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0" dT="2026-01-26T18:40:21.74" personId="{AE25FF13-AFA6-D64D-8330-DF8C218BF1DA}" id="{EF8FA0EB-5E47-3441-B249-58E5E8C50EAB}">
    <text>Passport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2060"/>
  </sheetPr>
  <dimension ref="A1:O73"/>
  <sheetViews>
    <sheetView topLeftCell="J37" zoomScaleNormal="100" workbookViewId="0">
      <selection activeCell="O54" sqref="O54"/>
    </sheetView>
  </sheetViews>
  <sheetFormatPr baseColWidth="10" defaultColWidth="11.28515625" defaultRowHeight="25" customHeight="1" x14ac:dyDescent="0.2"/>
  <cols>
    <col min="1" max="1" width="24.85546875" style="56" customWidth="1"/>
    <col min="2" max="2" width="18.7109375" style="10" hidden="1" customWidth="1"/>
    <col min="3" max="3" width="16" style="10" hidden="1" customWidth="1"/>
    <col min="4" max="4" width="15.42578125" style="10" hidden="1" customWidth="1"/>
    <col min="5" max="6" width="16.140625" style="10" hidden="1" customWidth="1"/>
    <col min="7" max="7" width="22.7109375" style="22" hidden="1" customWidth="1"/>
    <col min="8" max="8" width="17.5703125" style="10" hidden="1" customWidth="1"/>
    <col min="9" max="9" width="17.28515625" style="10" hidden="1" customWidth="1"/>
    <col min="10" max="10" width="16.140625" style="10" customWidth="1"/>
    <col min="11" max="11" width="20.42578125" style="22" customWidth="1"/>
    <col min="12" max="12" width="19.28515625" style="10" customWidth="1"/>
    <col min="13" max="13" width="16.5703125" style="10" customWidth="1"/>
    <col min="14" max="14" width="13.85546875" style="10" customWidth="1"/>
    <col min="15" max="15" width="26" style="10" customWidth="1"/>
    <col min="16" max="26" width="10.5703125" style="10" customWidth="1"/>
    <col min="27" max="16384" width="11.28515625" style="10"/>
  </cols>
  <sheetData>
    <row r="1" spans="1:15" ht="25" customHeight="1" thickTop="1" thickBot="1" x14ac:dyDescent="0.25">
      <c r="A1" s="42">
        <v>2022</v>
      </c>
      <c r="B1" s="69" t="s">
        <v>6</v>
      </c>
      <c r="C1" s="69" t="s">
        <v>7</v>
      </c>
      <c r="D1" s="86" t="s">
        <v>8</v>
      </c>
      <c r="E1" s="92" t="s">
        <v>9</v>
      </c>
      <c r="F1" s="107" t="s">
        <v>10</v>
      </c>
      <c r="G1" s="107" t="s">
        <v>2</v>
      </c>
      <c r="H1" s="107" t="s">
        <v>60</v>
      </c>
      <c r="I1" s="107" t="s">
        <v>3</v>
      </c>
      <c r="J1" s="107" t="s">
        <v>61</v>
      </c>
      <c r="K1" s="107" t="s">
        <v>4</v>
      </c>
      <c r="L1" s="107" t="s">
        <v>62</v>
      </c>
      <c r="M1" s="107" t="s">
        <v>5</v>
      </c>
      <c r="N1" s="730"/>
      <c r="O1" s="1" t="s">
        <v>0</v>
      </c>
    </row>
    <row r="2" spans="1:15" ht="25" customHeight="1" thickBot="1" x14ac:dyDescent="0.25">
      <c r="A2" s="734"/>
      <c r="B2" s="735"/>
      <c r="C2" s="735"/>
      <c r="D2" s="735"/>
      <c r="E2" s="735"/>
      <c r="F2" s="736"/>
      <c r="G2" s="736"/>
      <c r="H2" s="736"/>
      <c r="I2" s="736"/>
      <c r="J2" s="736"/>
      <c r="K2" s="736"/>
      <c r="L2" s="736"/>
      <c r="M2" s="737"/>
      <c r="N2" s="731"/>
      <c r="O2" s="11"/>
    </row>
    <row r="3" spans="1:15" ht="32" customHeight="1" thickBot="1" x14ac:dyDescent="0.25">
      <c r="A3" s="43" t="s">
        <v>11</v>
      </c>
      <c r="B3" s="68">
        <v>650</v>
      </c>
      <c r="C3" s="81"/>
      <c r="D3" s="81"/>
      <c r="E3" s="81"/>
      <c r="F3" s="81"/>
      <c r="G3" s="101"/>
      <c r="H3" s="81"/>
      <c r="I3" s="81"/>
      <c r="J3" s="81"/>
      <c r="K3" s="101"/>
      <c r="L3" s="81"/>
      <c r="M3" s="81"/>
      <c r="N3" s="731"/>
      <c r="O3" s="58">
        <f t="shared" ref="O3:O10" si="0">SUM(B3:M3)</f>
        <v>650</v>
      </c>
    </row>
    <row r="4" spans="1:15" ht="32" customHeight="1" thickBot="1" x14ac:dyDescent="0.25">
      <c r="A4" s="43" t="s">
        <v>12</v>
      </c>
      <c r="B4" s="68"/>
      <c r="C4" s="81"/>
      <c r="D4" s="81"/>
      <c r="E4" s="81"/>
      <c r="F4" s="81"/>
      <c r="G4" s="101"/>
      <c r="H4" s="81"/>
      <c r="I4" s="81"/>
      <c r="J4" s="81"/>
      <c r="K4" s="101"/>
      <c r="L4" s="81"/>
      <c r="M4" s="81"/>
      <c r="N4" s="731"/>
      <c r="O4" s="58">
        <f t="shared" si="0"/>
        <v>0</v>
      </c>
    </row>
    <row r="5" spans="1:15" ht="32" customHeight="1" thickBot="1" x14ac:dyDescent="0.25">
      <c r="A5" s="43" t="s">
        <v>13</v>
      </c>
      <c r="B5" s="68">
        <v>200</v>
      </c>
      <c r="C5" s="81"/>
      <c r="D5" s="81"/>
      <c r="E5" s="81"/>
      <c r="F5" s="81">
        <v>200</v>
      </c>
      <c r="G5" s="101"/>
      <c r="H5" s="81"/>
      <c r="I5" s="81"/>
      <c r="J5" s="81"/>
      <c r="K5" s="101"/>
      <c r="L5" s="81"/>
      <c r="M5" s="81"/>
      <c r="N5" s="731"/>
      <c r="O5" s="58">
        <f t="shared" si="0"/>
        <v>400</v>
      </c>
    </row>
    <row r="6" spans="1:15" ht="33" customHeight="1" thickBot="1" x14ac:dyDescent="0.25">
      <c r="A6" s="44" t="s">
        <v>0</v>
      </c>
      <c r="B6" s="67">
        <f t="shared" ref="B6:M6" si="1">SUM(B3:B5)</f>
        <v>850</v>
      </c>
      <c r="C6" s="71">
        <f t="shared" si="1"/>
        <v>0</v>
      </c>
      <c r="D6" s="82">
        <f t="shared" si="1"/>
        <v>0</v>
      </c>
      <c r="E6" s="71">
        <f t="shared" si="1"/>
        <v>0</v>
      </c>
      <c r="F6" s="71">
        <f t="shared" si="1"/>
        <v>200</v>
      </c>
      <c r="G6" s="95">
        <f t="shared" si="1"/>
        <v>0</v>
      </c>
      <c r="H6" s="71">
        <f t="shared" si="1"/>
        <v>0</v>
      </c>
      <c r="I6" s="71">
        <f t="shared" si="1"/>
        <v>0</v>
      </c>
      <c r="J6" s="71">
        <f t="shared" si="1"/>
        <v>0</v>
      </c>
      <c r="K6" s="95">
        <f t="shared" si="1"/>
        <v>0</v>
      </c>
      <c r="L6" s="71">
        <f t="shared" si="1"/>
        <v>0</v>
      </c>
      <c r="M6" s="71">
        <f t="shared" si="1"/>
        <v>0</v>
      </c>
      <c r="N6" s="731"/>
      <c r="O6" s="58">
        <f t="shared" si="0"/>
        <v>1050</v>
      </c>
    </row>
    <row r="7" spans="1:15" ht="25" customHeight="1" thickBot="1" x14ac:dyDescent="0.25">
      <c r="A7" s="45" t="s">
        <v>14</v>
      </c>
      <c r="B7" s="70">
        <v>90</v>
      </c>
      <c r="C7" s="70">
        <v>90</v>
      </c>
      <c r="D7" s="70">
        <v>90</v>
      </c>
      <c r="E7" s="70">
        <v>90</v>
      </c>
      <c r="F7" s="70">
        <v>90</v>
      </c>
      <c r="G7" s="70">
        <v>90</v>
      </c>
      <c r="H7" s="70">
        <v>90</v>
      </c>
      <c r="I7" s="70"/>
      <c r="J7" s="70"/>
      <c r="K7" s="102"/>
      <c r="L7" s="70"/>
      <c r="M7" s="70"/>
      <c r="N7" s="731"/>
      <c r="O7" s="58">
        <f t="shared" si="0"/>
        <v>630</v>
      </c>
    </row>
    <row r="8" spans="1:15" ht="25" customHeight="1" thickBot="1" x14ac:dyDescent="0.25">
      <c r="A8" s="45" t="s">
        <v>15</v>
      </c>
      <c r="B8" s="70">
        <v>105</v>
      </c>
      <c r="C8" s="70">
        <v>105</v>
      </c>
      <c r="D8" s="70">
        <v>105</v>
      </c>
      <c r="E8" s="70">
        <v>105</v>
      </c>
      <c r="F8" s="70">
        <v>105</v>
      </c>
      <c r="G8" s="70">
        <v>105</v>
      </c>
      <c r="H8" s="70">
        <v>105</v>
      </c>
      <c r="I8" s="70"/>
      <c r="J8" s="70"/>
      <c r="K8" s="102"/>
      <c r="L8" s="70"/>
      <c r="M8" s="70"/>
      <c r="N8" s="731"/>
      <c r="O8" s="58">
        <f t="shared" si="0"/>
        <v>735</v>
      </c>
    </row>
    <row r="9" spans="1:15" ht="25" customHeight="1" thickBot="1" x14ac:dyDescent="0.25">
      <c r="A9" s="45" t="s">
        <v>89</v>
      </c>
      <c r="B9" s="70">
        <v>175</v>
      </c>
      <c r="C9" s="70">
        <v>175</v>
      </c>
      <c r="D9" s="70">
        <v>175</v>
      </c>
      <c r="E9" s="70">
        <v>175</v>
      </c>
      <c r="F9" s="70">
        <v>175</v>
      </c>
      <c r="G9" s="70">
        <v>175</v>
      </c>
      <c r="H9" s="70">
        <v>175</v>
      </c>
      <c r="I9" s="70"/>
      <c r="J9" s="70"/>
      <c r="K9" s="102"/>
      <c r="L9" s="70"/>
      <c r="M9" s="70"/>
      <c r="N9" s="732"/>
      <c r="O9" s="58"/>
    </row>
    <row r="10" spans="1:15" ht="25" customHeight="1" thickBot="1" x14ac:dyDescent="0.25">
      <c r="A10" s="45" t="s">
        <v>88</v>
      </c>
      <c r="B10" s="70">
        <v>300</v>
      </c>
      <c r="C10" s="70">
        <v>300</v>
      </c>
      <c r="D10" s="70">
        <v>300</v>
      </c>
      <c r="E10" s="70">
        <v>300</v>
      </c>
      <c r="F10" s="70">
        <v>300</v>
      </c>
      <c r="G10" s="70">
        <v>300</v>
      </c>
      <c r="H10" s="70">
        <v>300</v>
      </c>
      <c r="I10" s="70"/>
      <c r="J10" s="70"/>
      <c r="K10" s="102"/>
      <c r="L10" s="70">
        <v>300</v>
      </c>
      <c r="M10" s="70"/>
      <c r="N10" s="731"/>
      <c r="O10" s="58">
        <f t="shared" si="0"/>
        <v>2400</v>
      </c>
    </row>
    <row r="11" spans="1:15" ht="25" customHeight="1" thickBot="1" x14ac:dyDescent="0.25">
      <c r="A11" s="45" t="s">
        <v>39</v>
      </c>
      <c r="B11" s="70">
        <v>15</v>
      </c>
      <c r="C11" s="70">
        <v>15</v>
      </c>
      <c r="D11" s="70">
        <v>15</v>
      </c>
      <c r="E11" s="70">
        <v>15</v>
      </c>
      <c r="F11" s="70">
        <v>15</v>
      </c>
      <c r="G11" s="70">
        <v>15</v>
      </c>
      <c r="H11" s="70">
        <v>15</v>
      </c>
      <c r="I11" s="70"/>
      <c r="J11" s="70"/>
      <c r="K11" s="102"/>
      <c r="L11" s="70"/>
      <c r="M11" s="70"/>
      <c r="N11" s="732"/>
      <c r="O11" s="58">
        <f>SUM(B11:M11)</f>
        <v>105</v>
      </c>
    </row>
    <row r="12" spans="1:15" ht="30" customHeight="1" thickBot="1" x14ac:dyDescent="0.25">
      <c r="A12" s="109" t="s">
        <v>0</v>
      </c>
      <c r="B12" s="70">
        <f t="shared" ref="B12:H12" si="2">SUM(B7:B11)</f>
        <v>685</v>
      </c>
      <c r="C12" s="70">
        <f t="shared" si="2"/>
        <v>685</v>
      </c>
      <c r="D12" s="70">
        <f t="shared" si="2"/>
        <v>685</v>
      </c>
      <c r="E12" s="70">
        <f t="shared" si="2"/>
        <v>685</v>
      </c>
      <c r="F12" s="70">
        <f t="shared" si="2"/>
        <v>685</v>
      </c>
      <c r="G12" s="70">
        <f t="shared" si="2"/>
        <v>685</v>
      </c>
      <c r="H12" s="70">
        <f t="shared" si="2"/>
        <v>685</v>
      </c>
      <c r="I12" s="70">
        <f>SUM(I7:I11)</f>
        <v>0</v>
      </c>
      <c r="J12" s="70">
        <f t="shared" ref="J12:M12" si="3">SUM(J7:J11)</f>
        <v>0</v>
      </c>
      <c r="K12" s="102">
        <f t="shared" si="3"/>
        <v>0</v>
      </c>
      <c r="L12" s="70">
        <f t="shared" si="3"/>
        <v>300</v>
      </c>
      <c r="M12" s="70">
        <f t="shared" si="3"/>
        <v>0</v>
      </c>
      <c r="N12" s="732"/>
      <c r="O12" s="58">
        <f>SUM(B12:M12)</f>
        <v>5095</v>
      </c>
    </row>
    <row r="13" spans="1:15" ht="25" customHeight="1" thickBot="1" x14ac:dyDescent="0.25">
      <c r="A13" s="45" t="s">
        <v>45</v>
      </c>
      <c r="B13" s="70">
        <v>50</v>
      </c>
      <c r="C13" s="70">
        <v>50</v>
      </c>
      <c r="D13" s="70">
        <v>50</v>
      </c>
      <c r="E13" s="70">
        <v>50</v>
      </c>
      <c r="F13" s="70">
        <v>50</v>
      </c>
      <c r="G13" s="70">
        <v>50</v>
      </c>
      <c r="H13" s="70">
        <v>50</v>
      </c>
      <c r="I13" s="70"/>
      <c r="J13" s="70"/>
      <c r="K13" s="102"/>
      <c r="L13" s="70"/>
      <c r="M13" s="70"/>
      <c r="N13" s="732"/>
      <c r="O13" s="58">
        <f>SUM(B13:M13)</f>
        <v>350</v>
      </c>
    </row>
    <row r="14" spans="1:15" ht="25" customHeight="1" thickBot="1" x14ac:dyDescent="0.25">
      <c r="A14" s="45" t="s">
        <v>18</v>
      </c>
      <c r="B14" s="70">
        <v>65</v>
      </c>
      <c r="C14" s="70">
        <v>65</v>
      </c>
      <c r="D14" s="70">
        <v>65</v>
      </c>
      <c r="E14" s="70">
        <v>65</v>
      </c>
      <c r="F14" s="70">
        <v>65</v>
      </c>
      <c r="G14" s="70">
        <v>65</v>
      </c>
      <c r="H14" s="70">
        <v>65</v>
      </c>
      <c r="I14" s="70"/>
      <c r="J14" s="70"/>
      <c r="K14" s="102"/>
      <c r="L14" s="70"/>
      <c r="M14" s="70"/>
      <c r="N14" s="731"/>
      <c r="O14" s="58">
        <f>SUM(B14:M14)</f>
        <v>455</v>
      </c>
    </row>
    <row r="15" spans="1:15" ht="29" customHeight="1" thickBot="1" x14ac:dyDescent="0.25">
      <c r="A15" s="45" t="s">
        <v>1</v>
      </c>
      <c r="B15" s="70">
        <v>250</v>
      </c>
      <c r="C15" s="70">
        <v>250</v>
      </c>
      <c r="D15" s="70">
        <v>250</v>
      </c>
      <c r="E15" s="70">
        <v>250</v>
      </c>
      <c r="F15" s="70">
        <v>250</v>
      </c>
      <c r="G15" s="70">
        <v>250</v>
      </c>
      <c r="H15" s="70">
        <v>250</v>
      </c>
      <c r="I15" s="70"/>
      <c r="J15" s="70"/>
      <c r="K15" s="102"/>
      <c r="L15" s="70"/>
      <c r="M15" s="70"/>
      <c r="N15" s="731"/>
      <c r="O15" s="58">
        <f>SUM(B15:M15)</f>
        <v>1750</v>
      </c>
    </row>
    <row r="16" spans="1:15" ht="29" customHeight="1" thickBot="1" x14ac:dyDescent="0.25">
      <c r="A16" s="45" t="s">
        <v>54</v>
      </c>
      <c r="B16" s="70"/>
      <c r="C16" s="70"/>
      <c r="D16" s="70"/>
      <c r="E16" s="70"/>
      <c r="F16" s="70"/>
      <c r="G16" s="70"/>
      <c r="H16" s="70"/>
      <c r="I16" s="70"/>
      <c r="J16" s="70"/>
      <c r="K16" s="102"/>
      <c r="L16" s="70"/>
      <c r="M16" s="70"/>
      <c r="N16" s="732"/>
      <c r="O16" s="58">
        <f t="shared" ref="O16:O21" si="4">SUM(B16:M16)</f>
        <v>0</v>
      </c>
    </row>
    <row r="17" spans="1:15" ht="25" customHeight="1" thickBot="1" x14ac:dyDescent="0.25">
      <c r="A17" s="45" t="s">
        <v>38</v>
      </c>
      <c r="B17" s="70">
        <v>90</v>
      </c>
      <c r="C17" s="70">
        <v>90</v>
      </c>
      <c r="D17" s="70">
        <v>90</v>
      </c>
      <c r="E17" s="70">
        <v>90</v>
      </c>
      <c r="F17" s="70">
        <v>90</v>
      </c>
      <c r="G17" s="70">
        <v>90</v>
      </c>
      <c r="H17" s="70">
        <v>90</v>
      </c>
      <c r="I17" s="70"/>
      <c r="J17" s="70"/>
      <c r="K17" s="102"/>
      <c r="L17" s="70"/>
      <c r="M17" s="70"/>
      <c r="N17" s="732"/>
      <c r="O17" s="58">
        <f t="shared" si="4"/>
        <v>630</v>
      </c>
    </row>
    <row r="18" spans="1:15" ht="25" customHeight="1" thickBot="1" x14ac:dyDescent="0.25">
      <c r="A18" s="45" t="s">
        <v>71</v>
      </c>
      <c r="B18" s="70"/>
      <c r="C18" s="70"/>
      <c r="D18" s="70"/>
      <c r="E18" s="70"/>
      <c r="F18" s="70"/>
      <c r="G18" s="70"/>
      <c r="H18" s="70"/>
      <c r="I18" s="70"/>
      <c r="J18" s="70"/>
      <c r="K18" s="102"/>
      <c r="L18" s="70"/>
      <c r="M18" s="70"/>
      <c r="N18" s="732"/>
      <c r="O18" s="58">
        <f t="shared" si="4"/>
        <v>0</v>
      </c>
    </row>
    <row r="19" spans="1:15" ht="29" customHeight="1" thickBot="1" x14ac:dyDescent="0.25">
      <c r="A19" s="45" t="s">
        <v>51</v>
      </c>
      <c r="B19" s="70">
        <v>200</v>
      </c>
      <c r="C19" s="70">
        <v>200</v>
      </c>
      <c r="D19" s="70">
        <v>200</v>
      </c>
      <c r="E19" s="70">
        <v>200</v>
      </c>
      <c r="F19" s="70">
        <v>200</v>
      </c>
      <c r="G19" s="70">
        <v>200</v>
      </c>
      <c r="H19" s="70">
        <v>200</v>
      </c>
      <c r="I19" s="70"/>
      <c r="J19" s="70"/>
      <c r="K19" s="102"/>
      <c r="L19" s="70"/>
      <c r="M19" s="70"/>
      <c r="N19" s="732"/>
      <c r="O19" s="58">
        <f t="shared" si="4"/>
        <v>1400</v>
      </c>
    </row>
    <row r="20" spans="1:15" ht="29" customHeight="1" thickBot="1" x14ac:dyDescent="0.25">
      <c r="A20" s="45" t="s">
        <v>78</v>
      </c>
      <c r="B20" s="70">
        <v>20</v>
      </c>
      <c r="C20" s="70">
        <v>20</v>
      </c>
      <c r="D20" s="70">
        <v>20</v>
      </c>
      <c r="E20" s="70">
        <v>20</v>
      </c>
      <c r="F20" s="70">
        <v>20</v>
      </c>
      <c r="G20" s="70">
        <v>20</v>
      </c>
      <c r="H20" s="70">
        <v>20</v>
      </c>
      <c r="I20" s="70"/>
      <c r="J20" s="70"/>
      <c r="K20" s="102"/>
      <c r="L20" s="70"/>
      <c r="M20" s="70"/>
      <c r="N20" s="732"/>
      <c r="O20" s="58">
        <f t="shared" si="4"/>
        <v>140</v>
      </c>
    </row>
    <row r="21" spans="1:15" ht="30" customHeight="1" thickBot="1" x14ac:dyDescent="0.25">
      <c r="A21" s="110" t="s">
        <v>0</v>
      </c>
      <c r="B21" s="67">
        <f t="shared" ref="B21:H21" si="5">SUM(B7:B20)</f>
        <v>2045</v>
      </c>
      <c r="C21" s="70">
        <f t="shared" si="5"/>
        <v>2045</v>
      </c>
      <c r="D21" s="70">
        <f t="shared" si="5"/>
        <v>2045</v>
      </c>
      <c r="E21" s="70">
        <f t="shared" si="5"/>
        <v>2045</v>
      </c>
      <c r="F21" s="70">
        <f t="shared" si="5"/>
        <v>2045</v>
      </c>
      <c r="G21" s="102">
        <f t="shared" si="5"/>
        <v>2045</v>
      </c>
      <c r="H21" s="70">
        <f t="shared" si="5"/>
        <v>2045</v>
      </c>
      <c r="I21" s="70">
        <f>SUM(I13:I20)</f>
        <v>0</v>
      </c>
      <c r="J21" s="70">
        <f t="shared" ref="J21:M21" si="6">SUM(J13:J20)</f>
        <v>0</v>
      </c>
      <c r="K21" s="102">
        <f t="shared" si="6"/>
        <v>0</v>
      </c>
      <c r="L21" s="70">
        <f t="shared" si="6"/>
        <v>0</v>
      </c>
      <c r="M21" s="70">
        <f t="shared" si="6"/>
        <v>0</v>
      </c>
      <c r="N21" s="732"/>
      <c r="O21" s="58">
        <f t="shared" si="4"/>
        <v>14315</v>
      </c>
    </row>
    <row r="22" spans="1:15" ht="25" customHeight="1" thickBot="1" x14ac:dyDescent="0.25">
      <c r="A22" s="45" t="s">
        <v>27</v>
      </c>
      <c r="B22" s="67">
        <v>30</v>
      </c>
      <c r="C22" s="70">
        <v>30</v>
      </c>
      <c r="D22" s="70"/>
      <c r="E22" s="70"/>
      <c r="F22" s="70"/>
      <c r="G22" s="102"/>
      <c r="H22" s="70">
        <v>35</v>
      </c>
      <c r="I22" s="70">
        <v>30</v>
      </c>
      <c r="J22" s="70"/>
      <c r="K22" s="102"/>
      <c r="L22" s="70"/>
      <c r="M22" s="70"/>
      <c r="N22" s="732"/>
      <c r="O22" s="58">
        <f>SUM(B22:M22)</f>
        <v>125</v>
      </c>
    </row>
    <row r="23" spans="1:15" ht="25" customHeight="1" thickBot="1" x14ac:dyDescent="0.25">
      <c r="A23" s="45" t="s">
        <v>43</v>
      </c>
      <c r="B23" s="67">
        <v>25</v>
      </c>
      <c r="C23" s="70">
        <v>10</v>
      </c>
      <c r="D23" s="70"/>
      <c r="E23" s="70"/>
      <c r="F23" s="70">
        <v>35</v>
      </c>
      <c r="G23" s="102"/>
      <c r="H23" s="70"/>
      <c r="I23" s="70"/>
      <c r="J23" s="70"/>
      <c r="K23" s="102"/>
      <c r="L23" s="70">
        <v>25</v>
      </c>
      <c r="M23" s="70"/>
      <c r="N23" s="732"/>
      <c r="O23" s="58"/>
    </row>
    <row r="24" spans="1:15" ht="25" customHeight="1" thickBot="1" x14ac:dyDescent="0.25">
      <c r="A24" s="45" t="s">
        <v>65</v>
      </c>
      <c r="B24" s="67">
        <v>25</v>
      </c>
      <c r="C24" s="70">
        <v>25</v>
      </c>
      <c r="D24" s="70"/>
      <c r="E24" s="70"/>
      <c r="F24" s="70">
        <v>25</v>
      </c>
      <c r="G24" s="102"/>
      <c r="H24" s="70"/>
      <c r="I24" s="70"/>
      <c r="J24" s="70"/>
      <c r="K24" s="102"/>
      <c r="L24" s="70"/>
      <c r="M24" s="70"/>
      <c r="N24" s="732"/>
      <c r="O24" s="58"/>
    </row>
    <row r="25" spans="1:15" ht="27" customHeight="1" thickBot="1" x14ac:dyDescent="0.25">
      <c r="A25" s="45" t="s">
        <v>66</v>
      </c>
      <c r="B25" s="67">
        <v>6</v>
      </c>
      <c r="C25" s="70">
        <v>6</v>
      </c>
      <c r="D25" s="70"/>
      <c r="E25" s="70"/>
      <c r="F25" s="70"/>
      <c r="G25" s="102"/>
      <c r="H25" s="70"/>
      <c r="I25" s="70"/>
      <c r="J25" s="70"/>
      <c r="K25" s="102"/>
      <c r="L25" s="70">
        <v>8</v>
      </c>
      <c r="M25" s="70"/>
      <c r="N25" s="732"/>
      <c r="O25" s="58"/>
    </row>
    <row r="26" spans="1:15" ht="27" customHeight="1" thickBot="1" x14ac:dyDescent="0.25">
      <c r="A26" s="45" t="s">
        <v>81</v>
      </c>
      <c r="B26" s="67"/>
      <c r="C26" s="70"/>
      <c r="D26" s="70"/>
      <c r="E26" s="70"/>
      <c r="F26" s="70">
        <v>10</v>
      </c>
      <c r="G26" s="102"/>
      <c r="H26" s="70"/>
      <c r="I26" s="70"/>
      <c r="J26" s="70"/>
      <c r="K26" s="102"/>
      <c r="L26" s="70"/>
      <c r="M26" s="70"/>
      <c r="N26" s="732"/>
      <c r="O26" s="58"/>
    </row>
    <row r="27" spans="1:15" ht="29" customHeight="1" thickBot="1" x14ac:dyDescent="0.25">
      <c r="A27" s="45" t="s">
        <v>67</v>
      </c>
      <c r="B27" s="67">
        <v>12</v>
      </c>
      <c r="C27" s="70">
        <v>12</v>
      </c>
      <c r="D27" s="70"/>
      <c r="E27" s="70"/>
      <c r="F27" s="70"/>
      <c r="G27" s="102"/>
      <c r="H27" s="70">
        <v>15</v>
      </c>
      <c r="I27" s="70"/>
      <c r="J27" s="70"/>
      <c r="K27" s="102"/>
      <c r="L27" s="70">
        <v>15</v>
      </c>
      <c r="M27" s="70"/>
      <c r="N27" s="732"/>
      <c r="O27" s="58"/>
    </row>
    <row r="28" spans="1:15" ht="25" customHeight="1" thickBot="1" x14ac:dyDescent="0.25">
      <c r="A28" s="45" t="s">
        <v>87</v>
      </c>
      <c r="B28" s="67"/>
      <c r="C28" s="70"/>
      <c r="D28" s="70"/>
      <c r="E28" s="70"/>
      <c r="F28" s="70"/>
      <c r="G28" s="102"/>
      <c r="H28" s="70"/>
      <c r="I28" s="70"/>
      <c r="J28" s="70"/>
      <c r="K28" s="102"/>
      <c r="L28" s="70"/>
      <c r="M28" s="70"/>
      <c r="N28" s="731"/>
      <c r="O28" s="58">
        <f t="shared" ref="O28:O35" si="7">SUM(B28:M28)</f>
        <v>0</v>
      </c>
    </row>
    <row r="29" spans="1:15" ht="25" customHeight="1" thickBot="1" x14ac:dyDescent="0.25">
      <c r="A29" s="45" t="s">
        <v>86</v>
      </c>
      <c r="B29" s="67"/>
      <c r="C29" s="70"/>
      <c r="D29" s="70"/>
      <c r="E29" s="70"/>
      <c r="F29" s="70"/>
      <c r="G29" s="102"/>
      <c r="H29" s="70">
        <v>5</v>
      </c>
      <c r="I29" s="70"/>
      <c r="J29" s="70"/>
      <c r="K29" s="102"/>
      <c r="L29" s="70">
        <v>5</v>
      </c>
      <c r="M29" s="70"/>
      <c r="N29" s="732"/>
      <c r="O29" s="58"/>
    </row>
    <row r="30" spans="1:15" ht="25" customHeight="1" thickBot="1" x14ac:dyDescent="0.25">
      <c r="A30" s="45" t="s">
        <v>85</v>
      </c>
      <c r="B30" s="67"/>
      <c r="C30" s="70"/>
      <c r="D30" s="70"/>
      <c r="E30" s="70"/>
      <c r="F30" s="70"/>
      <c r="G30" s="102"/>
      <c r="H30" s="70">
        <v>15</v>
      </c>
      <c r="I30" s="70"/>
      <c r="J30" s="70"/>
      <c r="K30" s="102"/>
      <c r="L30" s="70"/>
      <c r="M30" s="70"/>
      <c r="N30" s="732"/>
      <c r="O30" s="58"/>
    </row>
    <row r="31" spans="1:15" ht="25" customHeight="1" thickBot="1" x14ac:dyDescent="0.25">
      <c r="A31" s="44" t="s">
        <v>0</v>
      </c>
      <c r="B31" s="71">
        <f t="shared" ref="B31:M31" si="8">SUM(B22:B30)</f>
        <v>98</v>
      </c>
      <c r="C31" s="71">
        <f t="shared" si="8"/>
        <v>83</v>
      </c>
      <c r="D31" s="71">
        <f t="shared" si="8"/>
        <v>0</v>
      </c>
      <c r="E31" s="71">
        <f t="shared" si="8"/>
        <v>0</v>
      </c>
      <c r="F31" s="71">
        <f t="shared" si="8"/>
        <v>70</v>
      </c>
      <c r="G31" s="71">
        <f t="shared" si="8"/>
        <v>0</v>
      </c>
      <c r="H31" s="71">
        <f t="shared" si="8"/>
        <v>70</v>
      </c>
      <c r="I31" s="71">
        <f t="shared" si="8"/>
        <v>30</v>
      </c>
      <c r="J31" s="71">
        <f t="shared" si="8"/>
        <v>0</v>
      </c>
      <c r="K31" s="95">
        <f t="shared" si="8"/>
        <v>0</v>
      </c>
      <c r="L31" s="71">
        <f t="shared" si="8"/>
        <v>53</v>
      </c>
      <c r="M31" s="71">
        <f t="shared" si="8"/>
        <v>0</v>
      </c>
      <c r="N31" s="731"/>
      <c r="O31" s="58">
        <f t="shared" si="7"/>
        <v>404</v>
      </c>
    </row>
    <row r="32" spans="1:15" ht="25" customHeight="1" thickBot="1" x14ac:dyDescent="0.25">
      <c r="A32" s="47" t="s">
        <v>21</v>
      </c>
      <c r="B32" s="72">
        <v>180</v>
      </c>
      <c r="C32" s="72">
        <v>180</v>
      </c>
      <c r="D32" s="72">
        <v>180</v>
      </c>
      <c r="E32" s="72">
        <v>180</v>
      </c>
      <c r="F32" s="72">
        <v>180</v>
      </c>
      <c r="G32" s="72">
        <v>180</v>
      </c>
      <c r="H32" s="72">
        <v>180</v>
      </c>
      <c r="I32" s="72"/>
      <c r="J32" s="72"/>
      <c r="K32" s="103"/>
      <c r="L32" s="72"/>
      <c r="M32" s="72"/>
      <c r="N32" s="731"/>
      <c r="O32" s="58">
        <f t="shared" si="7"/>
        <v>1260</v>
      </c>
    </row>
    <row r="33" spans="1:15" ht="25" customHeight="1" thickBot="1" x14ac:dyDescent="0.25">
      <c r="A33" s="47" t="s">
        <v>56</v>
      </c>
      <c r="B33" s="72">
        <v>60</v>
      </c>
      <c r="C33" s="72">
        <v>60</v>
      </c>
      <c r="D33" s="72">
        <v>60</v>
      </c>
      <c r="E33" s="72">
        <v>60</v>
      </c>
      <c r="F33" s="72">
        <v>60</v>
      </c>
      <c r="G33" s="72">
        <v>60</v>
      </c>
      <c r="H33" s="72">
        <v>60</v>
      </c>
      <c r="I33" s="72">
        <v>45</v>
      </c>
      <c r="J33" s="72"/>
      <c r="K33" s="103"/>
      <c r="L33" s="72">
        <v>60</v>
      </c>
      <c r="M33" s="72"/>
      <c r="N33" s="731"/>
      <c r="O33" s="58">
        <f t="shared" si="7"/>
        <v>525</v>
      </c>
    </row>
    <row r="34" spans="1:15" ht="25" customHeight="1" thickBot="1" x14ac:dyDescent="0.25">
      <c r="A34" s="47" t="s">
        <v>22</v>
      </c>
      <c r="B34" s="72"/>
      <c r="C34" s="72"/>
      <c r="D34" s="72"/>
      <c r="E34" s="72"/>
      <c r="F34" s="72"/>
      <c r="G34" s="72"/>
      <c r="H34" s="72"/>
      <c r="I34" s="72"/>
      <c r="J34" s="72"/>
      <c r="K34" s="103"/>
      <c r="L34" s="72"/>
      <c r="M34" s="72"/>
      <c r="N34" s="731"/>
      <c r="O34" s="58">
        <f t="shared" si="7"/>
        <v>0</v>
      </c>
    </row>
    <row r="35" spans="1:15" ht="25" customHeight="1" thickBot="1" x14ac:dyDescent="0.25">
      <c r="A35" s="47" t="s">
        <v>80</v>
      </c>
      <c r="B35" s="83">
        <v>50</v>
      </c>
      <c r="C35" s="83">
        <v>50</v>
      </c>
      <c r="D35" s="83">
        <v>50</v>
      </c>
      <c r="E35" s="83">
        <v>50</v>
      </c>
      <c r="F35" s="83">
        <v>50</v>
      </c>
      <c r="G35" s="83">
        <v>50</v>
      </c>
      <c r="H35" s="83">
        <v>50</v>
      </c>
      <c r="I35" s="83"/>
      <c r="J35" s="83"/>
      <c r="K35" s="152"/>
      <c r="L35" s="83"/>
      <c r="M35" s="83"/>
      <c r="N35" s="731"/>
      <c r="O35" s="58">
        <f t="shared" si="7"/>
        <v>350</v>
      </c>
    </row>
    <row r="36" spans="1:15" ht="25" customHeight="1" thickBot="1" x14ac:dyDescent="0.25">
      <c r="A36" s="44" t="s">
        <v>0</v>
      </c>
      <c r="B36" s="73">
        <f t="shared" ref="B36:M36" si="9">SUM(B32:B35)</f>
        <v>290</v>
      </c>
      <c r="C36" s="73">
        <f t="shared" si="9"/>
        <v>290</v>
      </c>
      <c r="D36" s="73">
        <f t="shared" si="9"/>
        <v>290</v>
      </c>
      <c r="E36" s="73">
        <f t="shared" si="9"/>
        <v>290</v>
      </c>
      <c r="F36" s="73">
        <f t="shared" si="9"/>
        <v>290</v>
      </c>
      <c r="G36" s="73">
        <f t="shared" si="9"/>
        <v>290</v>
      </c>
      <c r="H36" s="73">
        <f t="shared" si="9"/>
        <v>290</v>
      </c>
      <c r="I36" s="73">
        <f t="shared" si="9"/>
        <v>45</v>
      </c>
      <c r="J36" s="73">
        <f t="shared" si="9"/>
        <v>0</v>
      </c>
      <c r="K36" s="153">
        <f t="shared" si="9"/>
        <v>0</v>
      </c>
      <c r="L36" s="73">
        <f t="shared" si="9"/>
        <v>60</v>
      </c>
      <c r="M36" s="73">
        <f t="shared" si="9"/>
        <v>0</v>
      </c>
      <c r="N36" s="731"/>
      <c r="O36" s="59">
        <f t="shared" ref="O36:O39" si="10">SUM(B36:M36)</f>
        <v>2135</v>
      </c>
    </row>
    <row r="37" spans="1:15" s="32" customFormat="1" ht="25" customHeight="1" thickBot="1" x14ac:dyDescent="0.25">
      <c r="A37" s="57" t="s">
        <v>16</v>
      </c>
      <c r="B37" s="70"/>
      <c r="C37" s="70"/>
      <c r="D37" s="70"/>
      <c r="E37" s="70"/>
      <c r="F37" s="70"/>
      <c r="G37" s="102"/>
      <c r="H37" s="70"/>
      <c r="I37" s="70"/>
      <c r="J37" s="70"/>
      <c r="K37" s="102"/>
      <c r="L37" s="70"/>
      <c r="M37" s="70"/>
      <c r="N37" s="732"/>
      <c r="O37" s="59">
        <f>SUM(B37:M37)</f>
        <v>0</v>
      </c>
    </row>
    <row r="38" spans="1:15" ht="25" customHeight="1" thickBot="1" x14ac:dyDescent="0.25">
      <c r="A38" s="44" t="s">
        <v>0</v>
      </c>
      <c r="B38" s="71">
        <f t="shared" ref="B38:M38" si="11">SUM(B37:B37)</f>
        <v>0</v>
      </c>
      <c r="C38" s="71">
        <f t="shared" si="11"/>
        <v>0</v>
      </c>
      <c r="D38" s="71">
        <f t="shared" si="11"/>
        <v>0</v>
      </c>
      <c r="E38" s="71">
        <f t="shared" si="11"/>
        <v>0</v>
      </c>
      <c r="F38" s="71">
        <f t="shared" si="11"/>
        <v>0</v>
      </c>
      <c r="G38" s="95">
        <f t="shared" si="11"/>
        <v>0</v>
      </c>
      <c r="H38" s="71">
        <f t="shared" si="11"/>
        <v>0</v>
      </c>
      <c r="I38" s="71">
        <f t="shared" si="11"/>
        <v>0</v>
      </c>
      <c r="J38" s="71">
        <f t="shared" si="11"/>
        <v>0</v>
      </c>
      <c r="K38" s="95">
        <f t="shared" si="11"/>
        <v>0</v>
      </c>
      <c r="L38" s="71">
        <f t="shared" si="11"/>
        <v>0</v>
      </c>
      <c r="M38" s="71">
        <f t="shared" si="11"/>
        <v>0</v>
      </c>
      <c r="N38" s="731"/>
      <c r="O38" s="59">
        <f t="shared" si="10"/>
        <v>0</v>
      </c>
    </row>
    <row r="39" spans="1:15" ht="29" customHeight="1" thickBot="1" x14ac:dyDescent="0.25">
      <c r="A39" s="45" t="s">
        <v>25</v>
      </c>
      <c r="B39" s="70"/>
      <c r="C39" s="70"/>
      <c r="D39" s="70"/>
      <c r="E39" s="70"/>
      <c r="F39" s="70"/>
      <c r="G39" s="102"/>
      <c r="H39" s="70"/>
      <c r="I39" s="70"/>
      <c r="J39" s="70"/>
      <c r="K39" s="102"/>
      <c r="L39" s="70"/>
      <c r="M39" s="70"/>
      <c r="N39" s="732"/>
      <c r="O39" s="59">
        <f t="shared" si="10"/>
        <v>0</v>
      </c>
    </row>
    <row r="40" spans="1:15" ht="33" customHeight="1" thickBot="1" x14ac:dyDescent="0.25">
      <c r="A40" s="45" t="s">
        <v>52</v>
      </c>
      <c r="B40" s="70">
        <v>60</v>
      </c>
      <c r="C40" s="70"/>
      <c r="D40" s="70"/>
      <c r="E40" s="70"/>
      <c r="F40" s="70"/>
      <c r="G40" s="102"/>
      <c r="H40" s="70"/>
      <c r="I40" s="70"/>
      <c r="J40" s="70"/>
      <c r="K40" s="102"/>
      <c r="L40" s="70"/>
      <c r="M40" s="70"/>
      <c r="N40" s="732"/>
      <c r="O40" s="59"/>
    </row>
    <row r="41" spans="1:15" ht="33" customHeight="1" thickBot="1" x14ac:dyDescent="0.25">
      <c r="A41" s="45" t="s">
        <v>84</v>
      </c>
      <c r="B41" s="70"/>
      <c r="C41" s="70"/>
      <c r="D41" s="70"/>
      <c r="E41" s="70"/>
      <c r="F41" s="70"/>
      <c r="G41" s="102"/>
      <c r="H41" s="70"/>
      <c r="I41" s="70"/>
      <c r="J41" s="70"/>
      <c r="K41" s="102"/>
      <c r="L41" s="70"/>
      <c r="M41" s="70"/>
      <c r="N41" s="732"/>
      <c r="O41" s="59"/>
    </row>
    <row r="42" spans="1:15" ht="32" customHeight="1" thickBot="1" x14ac:dyDescent="0.25">
      <c r="A42" s="45" t="s">
        <v>44</v>
      </c>
      <c r="B42" s="70"/>
      <c r="C42" s="70"/>
      <c r="D42" s="70"/>
      <c r="E42" s="70"/>
      <c r="F42" s="70"/>
      <c r="G42" s="102"/>
      <c r="H42" s="70"/>
      <c r="I42" s="70"/>
      <c r="J42" s="70"/>
      <c r="K42" s="102"/>
      <c r="L42" s="70"/>
      <c r="M42" s="70"/>
      <c r="N42" s="732"/>
      <c r="O42" s="59">
        <f t="shared" ref="O42:O58" si="12">SUM(B42:M42)</f>
        <v>0</v>
      </c>
    </row>
    <row r="43" spans="1:15" ht="31" customHeight="1" thickBot="1" x14ac:dyDescent="0.25">
      <c r="A43" s="45" t="s">
        <v>26</v>
      </c>
      <c r="B43" s="70"/>
      <c r="C43" s="70"/>
      <c r="D43" s="70"/>
      <c r="E43" s="70"/>
      <c r="F43" s="70"/>
      <c r="G43" s="102"/>
      <c r="H43" s="70"/>
      <c r="I43" s="70"/>
      <c r="J43" s="70"/>
      <c r="K43" s="102"/>
      <c r="L43" s="70">
        <v>1400</v>
      </c>
      <c r="M43" s="70"/>
      <c r="N43" s="732"/>
      <c r="O43" s="59">
        <f t="shared" si="12"/>
        <v>1400</v>
      </c>
    </row>
    <row r="44" spans="1:15" ht="30" customHeight="1" thickBot="1" x14ac:dyDescent="0.25">
      <c r="A44" s="45" t="s">
        <v>83</v>
      </c>
      <c r="B44" s="70"/>
      <c r="C44" s="70"/>
      <c r="D44" s="70"/>
      <c r="E44" s="70"/>
      <c r="F44" s="70"/>
      <c r="G44" s="102"/>
      <c r="H44" s="70"/>
      <c r="I44" s="70"/>
      <c r="J44" s="70"/>
      <c r="K44" s="102"/>
      <c r="L44" s="70"/>
      <c r="M44" s="70"/>
      <c r="N44" s="732"/>
      <c r="O44" s="59">
        <f t="shared" si="12"/>
        <v>0</v>
      </c>
    </row>
    <row r="45" spans="1:15" ht="30" customHeight="1" thickBot="1" x14ac:dyDescent="0.25">
      <c r="A45" s="45" t="s">
        <v>74</v>
      </c>
      <c r="B45" s="70">
        <v>400</v>
      </c>
      <c r="C45" s="70"/>
      <c r="D45" s="70"/>
      <c r="E45" s="70"/>
      <c r="F45" s="70"/>
      <c r="G45" s="102"/>
      <c r="H45" s="70"/>
      <c r="I45" s="70"/>
      <c r="J45" s="70"/>
      <c r="K45" s="102"/>
      <c r="L45" s="70"/>
      <c r="M45" s="70"/>
      <c r="N45" s="732"/>
      <c r="O45" s="59">
        <f t="shared" si="12"/>
        <v>400</v>
      </c>
    </row>
    <row r="46" spans="1:15" ht="25" customHeight="1" thickBot="1" x14ac:dyDescent="0.25">
      <c r="A46" s="45" t="s">
        <v>29</v>
      </c>
      <c r="B46" s="70"/>
      <c r="C46" s="70"/>
      <c r="D46" s="70"/>
      <c r="E46" s="70"/>
      <c r="F46" s="70"/>
      <c r="G46" s="102"/>
      <c r="H46" s="70"/>
      <c r="I46" s="70"/>
      <c r="J46" s="70"/>
      <c r="K46" s="102"/>
      <c r="L46" s="70"/>
      <c r="M46" s="70"/>
      <c r="N46" s="732"/>
      <c r="O46" s="59">
        <f t="shared" si="12"/>
        <v>0</v>
      </c>
    </row>
    <row r="47" spans="1:15" ht="25" customHeight="1" thickBot="1" x14ac:dyDescent="0.25">
      <c r="A47" s="45" t="s">
        <v>30</v>
      </c>
      <c r="B47" s="70"/>
      <c r="C47" s="70"/>
      <c r="D47" s="70"/>
      <c r="E47" s="70"/>
      <c r="F47" s="70"/>
      <c r="G47" s="102"/>
      <c r="H47" s="70"/>
      <c r="I47" s="70"/>
      <c r="J47" s="70"/>
      <c r="K47" s="102"/>
      <c r="L47" s="70"/>
      <c r="M47" s="70"/>
      <c r="N47" s="732"/>
      <c r="O47" s="59">
        <f t="shared" si="12"/>
        <v>0</v>
      </c>
    </row>
    <row r="48" spans="1:15" ht="25" customHeight="1" thickBot="1" x14ac:dyDescent="0.25">
      <c r="A48" s="49" t="s">
        <v>59</v>
      </c>
      <c r="B48" s="70"/>
      <c r="C48" s="70"/>
      <c r="D48" s="70"/>
      <c r="E48" s="70"/>
      <c r="F48" s="70"/>
      <c r="G48" s="102"/>
      <c r="H48" s="70"/>
      <c r="I48" s="70"/>
      <c r="J48" s="70"/>
      <c r="K48" s="102"/>
      <c r="L48" s="70"/>
      <c r="M48" s="70"/>
      <c r="N48" s="732"/>
      <c r="O48" s="59">
        <f t="shared" si="12"/>
        <v>0</v>
      </c>
    </row>
    <row r="49" spans="1:15" ht="25" customHeight="1" thickBot="1" x14ac:dyDescent="0.25">
      <c r="A49" s="45" t="s">
        <v>31</v>
      </c>
      <c r="B49" s="70"/>
      <c r="C49" s="70"/>
      <c r="D49" s="70"/>
      <c r="E49" s="70"/>
      <c r="F49" s="70"/>
      <c r="G49" s="102"/>
      <c r="H49" s="70"/>
      <c r="I49" s="70"/>
      <c r="J49" s="70"/>
      <c r="K49" s="102"/>
      <c r="L49" s="70"/>
      <c r="M49" s="70"/>
      <c r="N49" s="732"/>
      <c r="O49" s="59">
        <f t="shared" si="12"/>
        <v>0</v>
      </c>
    </row>
    <row r="50" spans="1:15" ht="25" customHeight="1" thickBot="1" x14ac:dyDescent="0.25">
      <c r="A50" s="45" t="s">
        <v>32</v>
      </c>
      <c r="B50" s="70"/>
      <c r="C50" s="70"/>
      <c r="D50" s="70"/>
      <c r="E50" s="70"/>
      <c r="F50" s="70"/>
      <c r="G50" s="102"/>
      <c r="H50" s="70"/>
      <c r="I50" s="70"/>
      <c r="J50" s="70"/>
      <c r="K50" s="102"/>
      <c r="L50" s="70"/>
      <c r="M50" s="70"/>
      <c r="N50" s="732"/>
      <c r="O50" s="59">
        <f t="shared" si="12"/>
        <v>0</v>
      </c>
    </row>
    <row r="51" spans="1:15" ht="25" customHeight="1" thickBot="1" x14ac:dyDescent="0.25">
      <c r="A51" s="50" t="s">
        <v>0</v>
      </c>
      <c r="B51" s="74">
        <f t="shared" ref="B51:M51" si="13">SUM(B39:B50)</f>
        <v>460</v>
      </c>
      <c r="C51" s="108">
        <f t="shared" si="13"/>
        <v>0</v>
      </c>
      <c r="D51" s="84">
        <f t="shared" si="13"/>
        <v>0</v>
      </c>
      <c r="E51" s="74">
        <f t="shared" si="13"/>
        <v>0</v>
      </c>
      <c r="F51" s="74">
        <f t="shared" si="13"/>
        <v>0</v>
      </c>
      <c r="G51" s="104">
        <f t="shared" si="13"/>
        <v>0</v>
      </c>
      <c r="H51" s="74">
        <f t="shared" si="13"/>
        <v>0</v>
      </c>
      <c r="I51" s="74">
        <f t="shared" si="13"/>
        <v>0</v>
      </c>
      <c r="J51" s="74">
        <f t="shared" si="13"/>
        <v>0</v>
      </c>
      <c r="K51" s="104">
        <f t="shared" si="13"/>
        <v>0</v>
      </c>
      <c r="L51" s="74">
        <f t="shared" si="13"/>
        <v>1400</v>
      </c>
      <c r="M51" s="74">
        <f t="shared" si="13"/>
        <v>0</v>
      </c>
      <c r="N51" s="731"/>
      <c r="O51" s="59">
        <f t="shared" si="12"/>
        <v>1860</v>
      </c>
    </row>
    <row r="52" spans="1:15" ht="25" customHeight="1" thickBot="1" x14ac:dyDescent="0.25">
      <c r="A52" s="51"/>
      <c r="B52" s="75"/>
      <c r="C52" s="75"/>
      <c r="D52" s="75"/>
      <c r="E52" s="75"/>
      <c r="F52" s="75"/>
      <c r="G52" s="105"/>
      <c r="H52" s="17"/>
      <c r="I52" s="75"/>
      <c r="J52" s="75"/>
      <c r="K52" s="105"/>
      <c r="L52" s="75"/>
      <c r="M52" s="75"/>
      <c r="N52" s="731"/>
      <c r="O52" s="59">
        <f t="shared" si="12"/>
        <v>0</v>
      </c>
    </row>
    <row r="53" spans="1:15" ht="43" customHeight="1" thickBot="1" x14ac:dyDescent="0.25">
      <c r="A53" s="47" t="s">
        <v>33</v>
      </c>
      <c r="B53" s="72"/>
      <c r="C53" s="72"/>
      <c r="D53" s="72"/>
      <c r="E53" s="72"/>
      <c r="F53" s="72"/>
      <c r="G53" s="103"/>
      <c r="H53" s="72"/>
      <c r="I53" s="72"/>
      <c r="J53" s="72"/>
      <c r="K53" s="103"/>
      <c r="L53" s="72"/>
      <c r="M53" s="72"/>
      <c r="N53" s="731"/>
      <c r="O53" s="59">
        <f t="shared" si="12"/>
        <v>0</v>
      </c>
    </row>
    <row r="54" spans="1:15" ht="42" customHeight="1" thickBot="1" x14ac:dyDescent="0.25">
      <c r="A54" s="52" t="s">
        <v>40</v>
      </c>
      <c r="B54" s="72">
        <v>200</v>
      </c>
      <c r="C54" s="72"/>
      <c r="D54" s="72"/>
      <c r="E54" s="72"/>
      <c r="F54" s="72"/>
      <c r="G54" s="103"/>
      <c r="H54" s="72"/>
      <c r="I54" s="72"/>
      <c r="J54" s="72"/>
      <c r="K54" s="166"/>
      <c r="L54" s="72"/>
      <c r="M54" s="72"/>
      <c r="N54" s="731"/>
      <c r="O54" s="59">
        <f>SUM(K54:M54)</f>
        <v>0</v>
      </c>
    </row>
    <row r="55" spans="1:15" ht="45" customHeight="1" thickBot="1" x14ac:dyDescent="0.25">
      <c r="A55" s="47" t="s">
        <v>34</v>
      </c>
      <c r="B55" s="72"/>
      <c r="C55" s="72"/>
      <c r="D55" s="72"/>
      <c r="E55" s="72"/>
      <c r="F55" s="72"/>
      <c r="G55" s="103"/>
      <c r="H55" s="72"/>
      <c r="I55" s="72"/>
      <c r="J55" s="72"/>
      <c r="K55" s="103"/>
      <c r="L55" s="72"/>
      <c r="M55" s="72"/>
      <c r="N55" s="732"/>
      <c r="O55" s="59">
        <f t="shared" si="12"/>
        <v>0</v>
      </c>
    </row>
    <row r="56" spans="1:15" ht="45" customHeight="1" thickBot="1" x14ac:dyDescent="0.25">
      <c r="A56" s="47" t="s">
        <v>79</v>
      </c>
      <c r="B56" s="72"/>
      <c r="C56" s="72"/>
      <c r="D56" s="72"/>
      <c r="E56" s="72"/>
      <c r="F56" s="72"/>
      <c r="G56" s="103"/>
      <c r="H56" s="72"/>
      <c r="I56" s="72"/>
      <c r="J56" s="72"/>
      <c r="K56" s="103"/>
      <c r="L56" s="72"/>
      <c r="M56" s="72"/>
      <c r="N56" s="732"/>
      <c r="O56" s="59">
        <f t="shared" si="12"/>
        <v>0</v>
      </c>
    </row>
    <row r="57" spans="1:15" ht="42" customHeight="1" thickBot="1" x14ac:dyDescent="0.25">
      <c r="A57" s="47" t="s">
        <v>73</v>
      </c>
      <c r="B57" s="72"/>
      <c r="C57" s="72"/>
      <c r="D57" s="72"/>
      <c r="E57" s="72"/>
      <c r="F57" s="72"/>
      <c r="G57" s="103"/>
      <c r="H57" s="72">
        <v>800</v>
      </c>
      <c r="I57" s="72"/>
      <c r="J57" s="72"/>
      <c r="K57" s="103"/>
      <c r="L57" s="72"/>
      <c r="M57" s="72"/>
      <c r="N57" s="731"/>
      <c r="O57" s="59">
        <f>SUM(K57:M57)</f>
        <v>0</v>
      </c>
    </row>
    <row r="58" spans="1:15" ht="35" customHeight="1" thickBot="1" x14ac:dyDescent="0.25">
      <c r="A58" s="53" t="s">
        <v>0</v>
      </c>
      <c r="B58" s="76">
        <f t="shared" ref="B58:D58" si="14">SUM(B52:B57)</f>
        <v>200</v>
      </c>
      <c r="C58" s="93">
        <f t="shared" si="14"/>
        <v>0</v>
      </c>
      <c r="D58" s="85">
        <f t="shared" si="14"/>
        <v>0</v>
      </c>
      <c r="E58" s="76">
        <f>SUM(E52:E56)</f>
        <v>0</v>
      </c>
      <c r="F58" s="76">
        <f t="shared" ref="F58:M58" si="15">SUM(F52:F57)</f>
        <v>0</v>
      </c>
      <c r="G58" s="106">
        <f t="shared" si="15"/>
        <v>0</v>
      </c>
      <c r="H58" s="76">
        <f t="shared" si="15"/>
        <v>800</v>
      </c>
      <c r="I58" s="76">
        <f t="shared" si="15"/>
        <v>0</v>
      </c>
      <c r="J58" s="76">
        <f t="shared" si="15"/>
        <v>0</v>
      </c>
      <c r="K58" s="106">
        <f t="shared" si="15"/>
        <v>0</v>
      </c>
      <c r="L58" s="76">
        <f t="shared" si="15"/>
        <v>0</v>
      </c>
      <c r="M58" s="76">
        <f t="shared" si="15"/>
        <v>0</v>
      </c>
      <c r="N58" s="733"/>
      <c r="O58" s="59">
        <f t="shared" si="12"/>
        <v>1000</v>
      </c>
    </row>
    <row r="59" spans="1:15" ht="25" customHeight="1" thickTop="1" x14ac:dyDescent="0.2">
      <c r="A59" s="738"/>
      <c r="B59" s="739"/>
      <c r="C59" s="739"/>
      <c r="D59" s="739"/>
      <c r="E59" s="739"/>
      <c r="F59" s="740"/>
      <c r="G59" s="740"/>
      <c r="H59" s="740"/>
      <c r="I59" s="740"/>
      <c r="J59" s="740"/>
      <c r="K59" s="740"/>
      <c r="L59" s="740"/>
      <c r="M59" s="739"/>
      <c r="N59" s="739"/>
      <c r="O59" s="741"/>
    </row>
    <row r="60" spans="1:15" ht="25" customHeight="1" thickBot="1" x14ac:dyDescent="0.25">
      <c r="A60" s="742"/>
      <c r="B60" s="743"/>
      <c r="C60" s="743"/>
      <c r="D60" s="743"/>
      <c r="E60" s="743"/>
      <c r="F60" s="743"/>
      <c r="G60" s="743"/>
      <c r="H60" s="743"/>
      <c r="I60" s="743"/>
      <c r="J60" s="743"/>
      <c r="K60" s="743"/>
      <c r="L60" s="743"/>
      <c r="M60" s="743"/>
      <c r="N60" s="743"/>
      <c r="O60" s="744"/>
    </row>
    <row r="61" spans="1:15" ht="37" customHeight="1" thickBot="1" x14ac:dyDescent="0.25">
      <c r="A61" s="54" t="s">
        <v>0</v>
      </c>
      <c r="B61" s="77">
        <f>SUM(B6+B21+B31+B36+B38+B51+B58)</f>
        <v>3943</v>
      </c>
      <c r="C61" s="77">
        <f>SUM(C6+C21+C31+C36+C38+C51+C58)</f>
        <v>2418</v>
      </c>
      <c r="D61" s="77">
        <f>SUM(D6+D21+D31+D36+D38+D51+D58)</f>
        <v>2335</v>
      </c>
      <c r="E61" s="77"/>
      <c r="F61" s="77">
        <f>SUM(F6+F21+F31+F36+F38+F51+F58)</f>
        <v>2605</v>
      </c>
      <c r="G61" s="94">
        <f>SUM(G6+G21+G31+G36+G38+G51+G58)</f>
        <v>2335</v>
      </c>
      <c r="H61" s="77">
        <f>SUM(H6+H21+H31+H36+H38+H51+H58)</f>
        <v>3205</v>
      </c>
      <c r="I61" s="120"/>
      <c r="J61" s="120"/>
      <c r="K61" s="94">
        <f>SUM(K6+K12+K21+K31+K36+K38+K51+K58)</f>
        <v>0</v>
      </c>
      <c r="L61" s="120"/>
      <c r="M61" s="77">
        <f>SUM(M6+M12+M21+M31+M36+M38+M51+M58)</f>
        <v>0</v>
      </c>
      <c r="N61" s="745"/>
      <c r="O61" s="60">
        <f t="shared" ref="O61:O67" si="16">SUM(B61:M61)</f>
        <v>16841</v>
      </c>
    </row>
    <row r="62" spans="1:15" ht="34" customHeight="1" thickBot="1" x14ac:dyDescent="0.25">
      <c r="A62" s="54" t="s">
        <v>41</v>
      </c>
      <c r="B62" s="77">
        <v>3870</v>
      </c>
      <c r="C62" s="77">
        <v>250</v>
      </c>
      <c r="D62" s="77">
        <v>338</v>
      </c>
      <c r="E62" s="77"/>
      <c r="F62" s="77">
        <v>605</v>
      </c>
      <c r="G62" s="95">
        <v>892</v>
      </c>
      <c r="H62" s="77">
        <v>230</v>
      </c>
      <c r="I62" s="120"/>
      <c r="J62" s="120"/>
      <c r="K62" s="94"/>
      <c r="L62" s="120"/>
      <c r="M62" s="77"/>
      <c r="N62" s="746"/>
      <c r="O62" s="60">
        <f t="shared" si="16"/>
        <v>6185</v>
      </c>
    </row>
    <row r="63" spans="1:15" ht="38" customHeight="1" thickBot="1" x14ac:dyDescent="0.25">
      <c r="A63" s="54" t="s">
        <v>35</v>
      </c>
      <c r="B63" s="77">
        <v>900</v>
      </c>
      <c r="C63" s="77">
        <v>625</v>
      </c>
      <c r="D63" s="77"/>
      <c r="E63" s="77"/>
      <c r="F63" s="77"/>
      <c r="G63" s="96"/>
      <c r="H63" s="77">
        <v>425</v>
      </c>
      <c r="I63" s="120"/>
      <c r="J63" s="120"/>
      <c r="K63" s="94" t="s">
        <v>97</v>
      </c>
      <c r="L63" s="120"/>
      <c r="M63" s="77"/>
      <c r="N63" s="746"/>
      <c r="O63" s="60">
        <f t="shared" si="16"/>
        <v>1950</v>
      </c>
    </row>
    <row r="64" spans="1:15" ht="38" customHeight="1" thickBot="1" x14ac:dyDescent="0.25">
      <c r="A64" s="54" t="s">
        <v>82</v>
      </c>
      <c r="B64" s="87"/>
      <c r="C64" s="87"/>
      <c r="D64" s="87"/>
      <c r="E64" s="87"/>
      <c r="F64" s="87">
        <v>200</v>
      </c>
      <c r="G64" s="96">
        <v>340</v>
      </c>
      <c r="H64" s="87">
        <v>200</v>
      </c>
      <c r="I64" s="121"/>
      <c r="J64" s="121"/>
      <c r="K64" s="96"/>
      <c r="L64" s="121"/>
      <c r="M64" s="87"/>
      <c r="N64" s="747"/>
      <c r="O64" s="89"/>
    </row>
    <row r="65" spans="1:15" ht="32" customHeight="1" thickBot="1" x14ac:dyDescent="0.25">
      <c r="A65" s="54" t="s">
        <v>75</v>
      </c>
      <c r="B65" s="77">
        <v>1070</v>
      </c>
      <c r="C65" s="77">
        <v>90</v>
      </c>
      <c r="D65" s="77">
        <v>300</v>
      </c>
      <c r="E65" s="90"/>
      <c r="F65" s="90"/>
      <c r="G65" s="97"/>
      <c r="H65" s="90"/>
      <c r="I65" s="122"/>
      <c r="J65" s="122"/>
      <c r="K65" s="150"/>
      <c r="L65" s="122"/>
      <c r="M65" s="90"/>
      <c r="N65" s="746"/>
      <c r="O65" s="60">
        <f t="shared" si="16"/>
        <v>1460</v>
      </c>
    </row>
    <row r="66" spans="1:15" ht="35" customHeight="1" thickBot="1" x14ac:dyDescent="0.25">
      <c r="A66" s="63" t="s">
        <v>72</v>
      </c>
      <c r="B66" s="78">
        <v>450</v>
      </c>
      <c r="C66" s="78"/>
      <c r="D66" s="78"/>
      <c r="E66" s="78"/>
      <c r="F66" s="78">
        <v>450</v>
      </c>
      <c r="G66" s="98"/>
      <c r="H66" s="78"/>
      <c r="I66" s="123"/>
      <c r="J66" s="123"/>
      <c r="K66" s="98"/>
      <c r="L66" s="123"/>
      <c r="M66" s="78"/>
      <c r="N66" s="746"/>
      <c r="O66" s="60">
        <f t="shared" si="16"/>
        <v>900</v>
      </c>
    </row>
    <row r="67" spans="1:15" ht="36" customHeight="1" thickBot="1" x14ac:dyDescent="0.25">
      <c r="A67" s="64" t="s">
        <v>37</v>
      </c>
      <c r="B67" s="79">
        <f t="shared" ref="B67:K67" si="17">SUM(B62:B66)</f>
        <v>6290</v>
      </c>
      <c r="C67" s="79">
        <f t="shared" si="17"/>
        <v>965</v>
      </c>
      <c r="D67" s="79">
        <f t="shared" si="17"/>
        <v>638</v>
      </c>
      <c r="E67" s="79">
        <f t="shared" si="17"/>
        <v>0</v>
      </c>
      <c r="F67" s="79">
        <f t="shared" si="17"/>
        <v>1255</v>
      </c>
      <c r="G67" s="99">
        <f t="shared" si="17"/>
        <v>1232</v>
      </c>
      <c r="H67" s="79">
        <f t="shared" si="17"/>
        <v>855</v>
      </c>
      <c r="I67" s="124"/>
      <c r="J67" s="124"/>
      <c r="K67" s="99">
        <f t="shared" si="17"/>
        <v>0</v>
      </c>
      <c r="L67" s="124"/>
      <c r="M67" s="171"/>
      <c r="N67" s="740"/>
      <c r="O67" s="60">
        <f t="shared" si="16"/>
        <v>11235</v>
      </c>
    </row>
    <row r="68" spans="1:15" ht="40" customHeight="1" thickBot="1" x14ac:dyDescent="0.25">
      <c r="A68" s="66" t="s">
        <v>76</v>
      </c>
      <c r="B68" s="80"/>
      <c r="C68" s="80">
        <f>(C67-C61)</f>
        <v>-1453</v>
      </c>
      <c r="D68" s="80"/>
      <c r="E68" s="91"/>
      <c r="F68" s="91">
        <f t="shared" ref="F68:G68" si="18">(F67-F61)</f>
        <v>-1350</v>
      </c>
      <c r="G68" s="100">
        <f t="shared" si="18"/>
        <v>-1103</v>
      </c>
      <c r="H68" s="91"/>
      <c r="I68" s="125"/>
      <c r="J68" s="125"/>
      <c r="K68" s="151"/>
      <c r="L68" s="125"/>
      <c r="M68" s="91"/>
      <c r="N68" s="747"/>
      <c r="O68" s="61">
        <f>SUM(I68:M68)</f>
        <v>0</v>
      </c>
    </row>
    <row r="69" spans="1:15" ht="25" customHeight="1" thickTop="1" x14ac:dyDescent="0.2">
      <c r="E69" s="33"/>
      <c r="F69" s="33"/>
      <c r="G69" s="33"/>
      <c r="H69" s="33"/>
      <c r="I69" s="33"/>
      <c r="J69" s="33"/>
      <c r="K69" s="36"/>
      <c r="L69" s="724" t="s">
        <v>63</v>
      </c>
      <c r="M69" s="725"/>
      <c r="N69" s="726"/>
      <c r="O69" s="748">
        <f>SUM(O3:O68)</f>
        <v>78135</v>
      </c>
    </row>
    <row r="70" spans="1:15" ht="25" customHeight="1" thickBot="1" x14ac:dyDescent="0.25">
      <c r="E70" s="34"/>
      <c r="F70" s="34"/>
      <c r="G70" s="34"/>
      <c r="H70" s="34"/>
      <c r="I70" s="34"/>
      <c r="J70" s="34"/>
      <c r="K70" s="35"/>
      <c r="L70" s="727"/>
      <c r="M70" s="728"/>
      <c r="N70" s="729"/>
      <c r="O70" s="749"/>
    </row>
    <row r="71" spans="1:15" ht="35" customHeight="1" thickBot="1" x14ac:dyDescent="0.25">
      <c r="E71" s="37"/>
      <c r="F71" s="37"/>
      <c r="G71" s="37"/>
      <c r="H71" s="37"/>
      <c r="I71" s="37"/>
      <c r="J71" s="37"/>
      <c r="K71" s="38"/>
      <c r="L71" s="721" t="s">
        <v>64</v>
      </c>
      <c r="M71" s="722"/>
      <c r="N71" s="723"/>
      <c r="O71" s="30">
        <f>SUM(B58:M58)</f>
        <v>1000</v>
      </c>
    </row>
    <row r="72" spans="1:15" ht="41" customHeight="1" thickBot="1" x14ac:dyDescent="0.25">
      <c r="E72" s="39"/>
      <c r="F72" s="39"/>
      <c r="G72" s="39"/>
      <c r="H72" s="39"/>
      <c r="I72" s="39"/>
      <c r="J72" s="39"/>
      <c r="K72" s="40"/>
      <c r="L72" s="718" t="s">
        <v>42</v>
      </c>
      <c r="M72" s="719"/>
      <c r="N72" s="720"/>
      <c r="O72" s="9">
        <f>SUM(I68:M68)</f>
        <v>0</v>
      </c>
    </row>
    <row r="73" spans="1:15" ht="25" customHeight="1" thickTop="1" x14ac:dyDescent="0.2"/>
  </sheetData>
  <mergeCells count="8">
    <mergeCell ref="L72:N72"/>
    <mergeCell ref="L71:N71"/>
    <mergeCell ref="L69:N70"/>
    <mergeCell ref="N1:N58"/>
    <mergeCell ref="A2:M2"/>
    <mergeCell ref="A59:O60"/>
    <mergeCell ref="N61:N68"/>
    <mergeCell ref="O69:O70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6C47-87B2-3E4B-8B5B-DC9C28018C89}">
  <sheetPr>
    <tabColor rgb="FF002060"/>
  </sheetPr>
  <dimension ref="A1:O81"/>
  <sheetViews>
    <sheetView topLeftCell="C56" zoomScale="83" zoomScaleNormal="100" workbookViewId="0">
      <selection activeCell="M62" sqref="M62"/>
    </sheetView>
  </sheetViews>
  <sheetFormatPr baseColWidth="10" defaultColWidth="11.28515625" defaultRowHeight="25" customHeight="1" x14ac:dyDescent="0.2"/>
  <cols>
    <col min="1" max="1" width="22.140625" style="56" customWidth="1"/>
    <col min="2" max="2" width="18.7109375" style="10" customWidth="1"/>
    <col min="3" max="3" width="16" style="10" customWidth="1"/>
    <col min="4" max="4" width="15.42578125" style="10" customWidth="1"/>
    <col min="5" max="6" width="16.140625" style="10" customWidth="1"/>
    <col min="7" max="7" width="20.7109375" style="32" customWidth="1"/>
    <col min="8" max="8" width="19.42578125" style="10" customWidth="1"/>
    <col min="9" max="9" width="19.5703125" style="10" customWidth="1"/>
    <col min="10" max="10" width="21" style="10" customWidth="1"/>
    <col min="11" max="11" width="24.5703125" style="210" customWidth="1"/>
    <col min="12" max="13" width="16.140625" style="10" customWidth="1"/>
    <col min="14" max="14" width="9.7109375" style="10" customWidth="1"/>
    <col min="15" max="15" width="26" style="10" customWidth="1"/>
    <col min="16" max="26" width="10.5703125" style="10" customWidth="1"/>
    <col min="27" max="16384" width="11.28515625" style="10"/>
  </cols>
  <sheetData>
    <row r="1" spans="1:15" ht="25" customHeight="1" thickTop="1" thickBot="1" x14ac:dyDescent="0.3">
      <c r="A1" s="42">
        <v>2022</v>
      </c>
      <c r="B1" s="190" t="s">
        <v>6</v>
      </c>
      <c r="C1" s="69" t="s">
        <v>7</v>
      </c>
      <c r="D1" s="86" t="s">
        <v>8</v>
      </c>
      <c r="E1" s="92" t="s">
        <v>9</v>
      </c>
      <c r="F1" s="107" t="s">
        <v>10</v>
      </c>
      <c r="G1" s="227" t="s">
        <v>2</v>
      </c>
      <c r="H1" s="242" t="s">
        <v>60</v>
      </c>
      <c r="I1" s="107" t="s">
        <v>3</v>
      </c>
      <c r="J1" s="302" t="s">
        <v>61</v>
      </c>
      <c r="K1" s="303" t="s">
        <v>4</v>
      </c>
      <c r="L1" s="107" t="s">
        <v>62</v>
      </c>
      <c r="M1" s="3" t="s">
        <v>5</v>
      </c>
      <c r="N1" s="730"/>
      <c r="O1" s="1" t="s">
        <v>0</v>
      </c>
    </row>
    <row r="2" spans="1:15" ht="25" customHeight="1" thickBot="1" x14ac:dyDescent="0.25">
      <c r="A2" s="734"/>
      <c r="B2" s="735"/>
      <c r="C2" s="735"/>
      <c r="D2" s="735"/>
      <c r="E2" s="735"/>
      <c r="F2" s="736"/>
      <c r="G2" s="736"/>
      <c r="H2" s="736"/>
      <c r="I2" s="736"/>
      <c r="J2" s="736"/>
      <c r="K2" s="736"/>
      <c r="L2" s="736"/>
      <c r="M2" s="737"/>
      <c r="N2" s="731"/>
      <c r="O2" s="11"/>
    </row>
    <row r="3" spans="1:15" ht="25" customHeight="1" thickBot="1" x14ac:dyDescent="0.3">
      <c r="A3" s="43" t="s">
        <v>11</v>
      </c>
      <c r="B3" s="180"/>
      <c r="C3" s="81"/>
      <c r="D3" s="180"/>
      <c r="E3" s="81"/>
      <c r="F3" s="81"/>
      <c r="G3" s="81"/>
      <c r="H3" s="243"/>
      <c r="I3" s="81"/>
      <c r="J3" s="279"/>
      <c r="K3" s="280"/>
      <c r="L3" s="81"/>
      <c r="M3" s="12"/>
      <c r="N3" s="731"/>
      <c r="O3" s="13">
        <f t="shared" ref="O3:O37" si="0">SUM(B3:M3)</f>
        <v>0</v>
      </c>
    </row>
    <row r="4" spans="1:15" ht="25" customHeight="1" thickBot="1" x14ac:dyDescent="0.3">
      <c r="A4" s="43" t="s">
        <v>12</v>
      </c>
      <c r="B4" s="180"/>
      <c r="C4" s="81"/>
      <c r="D4" s="180"/>
      <c r="E4" s="81"/>
      <c r="F4" s="81"/>
      <c r="G4" s="68"/>
      <c r="H4" s="243"/>
      <c r="I4" s="81"/>
      <c r="J4" s="279"/>
      <c r="K4" s="280"/>
      <c r="L4" s="81"/>
      <c r="M4" s="12"/>
      <c r="N4" s="731"/>
      <c r="O4" s="13">
        <f t="shared" si="0"/>
        <v>0</v>
      </c>
    </row>
    <row r="5" spans="1:15" ht="25" customHeight="1" thickBot="1" x14ac:dyDescent="0.3">
      <c r="A5" s="43" t="s">
        <v>13</v>
      </c>
      <c r="B5" s="180"/>
      <c r="C5" s="81"/>
      <c r="D5" s="180"/>
      <c r="E5" s="81"/>
      <c r="F5" s="81"/>
      <c r="G5" s="81"/>
      <c r="H5" s="243"/>
      <c r="I5" s="81"/>
      <c r="J5" s="279"/>
      <c r="K5" s="280"/>
      <c r="L5" s="81"/>
      <c r="M5" s="12"/>
      <c r="N5" s="731"/>
      <c r="O5" s="13">
        <f t="shared" si="0"/>
        <v>0</v>
      </c>
    </row>
    <row r="6" spans="1:15" ht="25" customHeight="1" thickBot="1" x14ac:dyDescent="0.3">
      <c r="A6" s="44" t="s">
        <v>0</v>
      </c>
      <c r="B6" s="181">
        <f t="shared" ref="B6:M6" si="1">SUM(B3:B5)</f>
        <v>0</v>
      </c>
      <c r="C6" s="200">
        <f t="shared" si="1"/>
        <v>0</v>
      </c>
      <c r="D6" s="197">
        <f t="shared" si="1"/>
        <v>0</v>
      </c>
      <c r="E6" s="71">
        <f t="shared" si="1"/>
        <v>0</v>
      </c>
      <c r="F6" s="71">
        <f t="shared" si="1"/>
        <v>0</v>
      </c>
      <c r="G6" s="67"/>
      <c r="H6" s="244">
        <f t="shared" si="1"/>
        <v>0</v>
      </c>
      <c r="I6" s="71">
        <f t="shared" si="1"/>
        <v>0</v>
      </c>
      <c r="J6" s="271">
        <f t="shared" si="1"/>
        <v>0</v>
      </c>
      <c r="K6" s="272">
        <f t="shared" si="1"/>
        <v>0</v>
      </c>
      <c r="L6" s="71">
        <f t="shared" si="1"/>
        <v>0</v>
      </c>
      <c r="M6" s="4">
        <f t="shared" si="1"/>
        <v>0</v>
      </c>
      <c r="N6" s="731"/>
      <c r="O6" s="13">
        <f t="shared" si="0"/>
        <v>0</v>
      </c>
    </row>
    <row r="7" spans="1:15" ht="25" customHeight="1" thickBot="1" x14ac:dyDescent="0.3">
      <c r="A7" s="45" t="s">
        <v>14</v>
      </c>
      <c r="B7" s="179"/>
      <c r="C7" s="70"/>
      <c r="D7" s="179"/>
      <c r="E7" s="70"/>
      <c r="F7" s="70"/>
      <c r="G7" s="67"/>
      <c r="H7" s="245">
        <v>90</v>
      </c>
      <c r="I7" s="70"/>
      <c r="J7" s="281"/>
      <c r="K7" s="282"/>
      <c r="L7" s="70"/>
      <c r="M7" s="14"/>
      <c r="N7" s="731"/>
      <c r="O7" s="13">
        <f t="shared" si="0"/>
        <v>90</v>
      </c>
    </row>
    <row r="8" spans="1:15" ht="25" customHeight="1" thickBot="1" x14ac:dyDescent="0.3">
      <c r="A8" s="45" t="s">
        <v>15</v>
      </c>
      <c r="B8" s="179"/>
      <c r="C8" s="70"/>
      <c r="D8" s="179"/>
      <c r="E8" s="70"/>
      <c r="F8" s="70"/>
      <c r="G8" s="67"/>
      <c r="H8" s="245"/>
      <c r="I8" s="70"/>
      <c r="J8" s="281"/>
      <c r="K8" s="282"/>
      <c r="L8" s="70"/>
      <c r="M8" s="14"/>
      <c r="N8" s="731"/>
      <c r="O8" s="13">
        <f t="shared" si="0"/>
        <v>0</v>
      </c>
    </row>
    <row r="9" spans="1:15" ht="25" customHeight="1" thickBot="1" x14ac:dyDescent="0.3">
      <c r="A9" s="45" t="s">
        <v>17</v>
      </c>
      <c r="B9" s="179">
        <v>100</v>
      </c>
      <c r="C9" s="70"/>
      <c r="D9" s="179"/>
      <c r="E9" s="70"/>
      <c r="F9" s="70"/>
      <c r="G9" s="67"/>
      <c r="H9" s="246">
        <v>130</v>
      </c>
      <c r="I9" s="67"/>
      <c r="J9" s="283"/>
      <c r="K9" s="282"/>
      <c r="L9" s="70"/>
      <c r="M9" s="14"/>
      <c r="N9" s="731"/>
      <c r="O9" s="13">
        <f t="shared" si="0"/>
        <v>230</v>
      </c>
    </row>
    <row r="10" spans="1:15" ht="25" customHeight="1" thickBot="1" x14ac:dyDescent="0.3">
      <c r="A10" s="45" t="s">
        <v>39</v>
      </c>
      <c r="B10" s="179"/>
      <c r="C10" s="70"/>
      <c r="D10" s="179"/>
      <c r="E10" s="70"/>
      <c r="F10" s="70"/>
      <c r="G10" s="67"/>
      <c r="H10" s="245">
        <v>15</v>
      </c>
      <c r="I10" s="70"/>
      <c r="J10" s="281"/>
      <c r="K10" s="282"/>
      <c r="L10" s="70"/>
      <c r="M10" s="14"/>
      <c r="N10" s="732"/>
      <c r="O10" s="13">
        <f t="shared" si="0"/>
        <v>15</v>
      </c>
    </row>
    <row r="11" spans="1:15" ht="25" customHeight="1" thickBot="1" x14ac:dyDescent="0.3">
      <c r="A11" s="110"/>
      <c r="B11" s="179">
        <f t="shared" ref="B11:M11" si="2">SUM(B7:B10)</f>
        <v>100</v>
      </c>
      <c r="C11" s="70">
        <f t="shared" si="2"/>
        <v>0</v>
      </c>
      <c r="D11" s="179">
        <f t="shared" si="2"/>
        <v>0</v>
      </c>
      <c r="E11" s="70">
        <f t="shared" si="2"/>
        <v>0</v>
      </c>
      <c r="F11" s="70">
        <f t="shared" si="2"/>
        <v>0</v>
      </c>
      <c r="G11" s="67">
        <f t="shared" si="2"/>
        <v>0</v>
      </c>
      <c r="H11" s="245">
        <f t="shared" si="2"/>
        <v>235</v>
      </c>
      <c r="I11" s="70">
        <f t="shared" si="2"/>
        <v>0</v>
      </c>
      <c r="J11" s="281">
        <f t="shared" si="2"/>
        <v>0</v>
      </c>
      <c r="K11" s="282">
        <f t="shared" si="2"/>
        <v>0</v>
      </c>
      <c r="L11" s="70">
        <f t="shared" si="2"/>
        <v>0</v>
      </c>
      <c r="M11" s="111">
        <f t="shared" si="2"/>
        <v>0</v>
      </c>
      <c r="N11" s="732"/>
      <c r="O11" s="13">
        <f t="shared" si="0"/>
        <v>335</v>
      </c>
    </row>
    <row r="12" spans="1:15" ht="25" customHeight="1" thickBot="1" x14ac:dyDescent="0.3">
      <c r="A12" s="45" t="s">
        <v>45</v>
      </c>
      <c r="B12" s="179"/>
      <c r="C12" s="70"/>
      <c r="D12" s="179"/>
      <c r="E12" s="70"/>
      <c r="F12" s="70"/>
      <c r="G12" s="67"/>
      <c r="H12" s="245"/>
      <c r="I12" s="70"/>
      <c r="J12" s="281"/>
      <c r="K12" s="282"/>
      <c r="L12" s="70"/>
      <c r="M12" s="14"/>
      <c r="N12" s="732"/>
      <c r="O12" s="13">
        <f t="shared" si="0"/>
        <v>0</v>
      </c>
    </row>
    <row r="13" spans="1:15" ht="25" customHeight="1" thickBot="1" x14ac:dyDescent="0.3">
      <c r="A13" s="45" t="s">
        <v>18</v>
      </c>
      <c r="B13" s="179"/>
      <c r="C13" s="70"/>
      <c r="D13" s="179"/>
      <c r="E13" s="70"/>
      <c r="F13" s="70"/>
      <c r="G13" s="67"/>
      <c r="H13" s="245"/>
      <c r="I13" s="70"/>
      <c r="J13" s="281"/>
      <c r="K13" s="282"/>
      <c r="L13" s="70"/>
      <c r="M13" s="14"/>
      <c r="N13" s="731"/>
      <c r="O13" s="13">
        <f t="shared" si="0"/>
        <v>0</v>
      </c>
    </row>
    <row r="14" spans="1:15" ht="25" customHeight="1" thickBot="1" x14ac:dyDescent="0.3">
      <c r="A14" s="45" t="s">
        <v>1</v>
      </c>
      <c r="B14" s="179"/>
      <c r="C14" s="70"/>
      <c r="D14" s="179"/>
      <c r="E14" s="70"/>
      <c r="F14" s="70"/>
      <c r="G14" s="67"/>
      <c r="H14" s="245"/>
      <c r="I14" s="70"/>
      <c r="J14" s="281"/>
      <c r="K14" s="282"/>
      <c r="L14" s="70"/>
      <c r="M14" s="14"/>
      <c r="N14" s="731"/>
      <c r="O14" s="13">
        <f t="shared" si="0"/>
        <v>0</v>
      </c>
    </row>
    <row r="15" spans="1:15" ht="25" customHeight="1" thickBot="1" x14ac:dyDescent="0.3">
      <c r="A15" s="45" t="s">
        <v>38</v>
      </c>
      <c r="B15" s="179"/>
      <c r="C15" s="70"/>
      <c r="D15" s="179"/>
      <c r="E15" s="70"/>
      <c r="F15" s="70"/>
      <c r="G15" s="67"/>
      <c r="H15" s="245"/>
      <c r="I15" s="70"/>
      <c r="J15" s="281"/>
      <c r="K15" s="282"/>
      <c r="L15" s="70"/>
      <c r="M15" s="14"/>
      <c r="N15" s="732"/>
      <c r="O15" s="13">
        <f t="shared" si="0"/>
        <v>0</v>
      </c>
    </row>
    <row r="16" spans="1:15" ht="25" customHeight="1" thickBot="1" x14ac:dyDescent="0.3">
      <c r="A16" s="45" t="s">
        <v>51</v>
      </c>
      <c r="B16" s="179"/>
      <c r="C16" s="70"/>
      <c r="D16" s="179"/>
      <c r="E16" s="70"/>
      <c r="F16" s="70"/>
      <c r="G16" s="67"/>
      <c r="H16" s="245"/>
      <c r="I16" s="70"/>
      <c r="J16" s="281"/>
      <c r="K16" s="282"/>
      <c r="L16" s="70"/>
      <c r="M16" s="14"/>
      <c r="N16" s="732"/>
      <c r="O16" s="13">
        <f t="shared" si="0"/>
        <v>0</v>
      </c>
    </row>
    <row r="17" spans="1:15" ht="25" customHeight="1" thickBot="1" x14ac:dyDescent="0.3">
      <c r="A17" s="45" t="s">
        <v>53</v>
      </c>
      <c r="B17" s="179"/>
      <c r="C17" s="70"/>
      <c r="D17" s="179"/>
      <c r="E17" s="70"/>
      <c r="F17" s="70"/>
      <c r="G17" s="67"/>
      <c r="H17" s="246"/>
      <c r="I17" s="67"/>
      <c r="J17" s="281"/>
      <c r="K17" s="282"/>
      <c r="L17" s="70"/>
      <c r="M17" s="14"/>
      <c r="N17" s="732"/>
      <c r="O17" s="13">
        <f t="shared" si="0"/>
        <v>0</v>
      </c>
    </row>
    <row r="18" spans="1:15" ht="25" customHeight="1" thickBot="1" x14ac:dyDescent="0.3">
      <c r="A18" s="46"/>
      <c r="B18" s="179">
        <f t="shared" ref="B18:G18" si="3">SUM(B12:B17)</f>
        <v>0</v>
      </c>
      <c r="C18" s="70">
        <f t="shared" si="3"/>
        <v>0</v>
      </c>
      <c r="D18" s="179">
        <f t="shared" si="3"/>
        <v>0</v>
      </c>
      <c r="E18" s="70">
        <f t="shared" si="3"/>
        <v>0</v>
      </c>
      <c r="F18" s="70">
        <f t="shared" si="3"/>
        <v>0</v>
      </c>
      <c r="G18" s="67">
        <f t="shared" si="3"/>
        <v>0</v>
      </c>
      <c r="H18" s="245">
        <f>SUM(H12:H17)</f>
        <v>0</v>
      </c>
      <c r="I18" s="70">
        <f t="shared" ref="I18:M18" si="4">SUM(I12:I17)</f>
        <v>0</v>
      </c>
      <c r="J18" s="281">
        <f t="shared" si="4"/>
        <v>0</v>
      </c>
      <c r="K18" s="282">
        <f t="shared" si="4"/>
        <v>0</v>
      </c>
      <c r="L18" s="70">
        <f t="shared" si="4"/>
        <v>0</v>
      </c>
      <c r="M18" s="41">
        <f t="shared" si="4"/>
        <v>0</v>
      </c>
      <c r="N18" s="732"/>
      <c r="O18" s="13">
        <f t="shared" si="0"/>
        <v>0</v>
      </c>
    </row>
    <row r="19" spans="1:15" ht="25" customHeight="1" thickBot="1" x14ac:dyDescent="0.3">
      <c r="A19" s="45" t="s">
        <v>27</v>
      </c>
      <c r="B19" s="179"/>
      <c r="C19" s="70"/>
      <c r="D19" s="179"/>
      <c r="E19" s="70"/>
      <c r="F19" s="70"/>
      <c r="G19" s="67"/>
      <c r="H19" s="245"/>
      <c r="I19" s="70"/>
      <c r="J19" s="281"/>
      <c r="K19" s="282"/>
      <c r="L19" s="70"/>
      <c r="M19" s="14"/>
      <c r="N19" s="732"/>
      <c r="O19" s="13">
        <f t="shared" si="0"/>
        <v>0</v>
      </c>
    </row>
    <row r="20" spans="1:15" ht="25" customHeight="1" thickBot="1" x14ac:dyDescent="0.3">
      <c r="A20" s="45" t="s">
        <v>100</v>
      </c>
      <c r="B20" s="179"/>
      <c r="C20" s="70"/>
      <c r="D20" s="179"/>
      <c r="E20" s="70"/>
      <c r="F20" s="70"/>
      <c r="G20" s="67"/>
      <c r="H20" s="245"/>
      <c r="I20" s="70"/>
      <c r="J20" s="281"/>
      <c r="K20" s="282"/>
      <c r="L20" s="70"/>
      <c r="M20" s="14"/>
      <c r="N20" s="732"/>
      <c r="O20" s="13">
        <f t="shared" si="0"/>
        <v>0</v>
      </c>
    </row>
    <row r="21" spans="1:15" ht="25" customHeight="1" thickBot="1" x14ac:dyDescent="0.3">
      <c r="A21" s="45" t="s">
        <v>43</v>
      </c>
      <c r="B21" s="179">
        <v>10</v>
      </c>
      <c r="C21" s="70"/>
      <c r="D21" s="179"/>
      <c r="E21" s="70"/>
      <c r="F21" s="70"/>
      <c r="G21" s="67"/>
      <c r="H21" s="245">
        <v>8</v>
      </c>
      <c r="I21" s="70"/>
      <c r="J21" s="281"/>
      <c r="K21" s="282"/>
      <c r="L21" s="70"/>
      <c r="M21" s="14"/>
      <c r="N21" s="732"/>
      <c r="O21" s="13">
        <f t="shared" si="0"/>
        <v>18</v>
      </c>
    </row>
    <row r="22" spans="1:15" ht="25" customHeight="1" thickBot="1" x14ac:dyDescent="0.3">
      <c r="A22" s="45" t="s">
        <v>85</v>
      </c>
      <c r="B22" s="179">
        <v>15</v>
      </c>
      <c r="C22" s="70"/>
      <c r="D22" s="179"/>
      <c r="E22" s="70"/>
      <c r="F22" s="70"/>
      <c r="G22" s="67"/>
      <c r="H22" s="245">
        <v>20</v>
      </c>
      <c r="I22" s="70"/>
      <c r="J22" s="281"/>
      <c r="K22" s="282"/>
      <c r="L22" s="70"/>
      <c r="M22" s="14"/>
      <c r="N22" s="732"/>
      <c r="O22" s="13"/>
    </row>
    <row r="23" spans="1:15" ht="25" customHeight="1" thickBot="1" x14ac:dyDescent="0.3">
      <c r="A23" s="45" t="s">
        <v>65</v>
      </c>
      <c r="B23" s="179"/>
      <c r="C23" s="70"/>
      <c r="D23" s="179"/>
      <c r="E23" s="70"/>
      <c r="F23" s="70"/>
      <c r="G23" s="67"/>
      <c r="H23" s="245">
        <v>15</v>
      </c>
      <c r="I23" s="70"/>
      <c r="J23" s="281"/>
      <c r="K23" s="282"/>
      <c r="L23" s="70"/>
      <c r="M23" s="14"/>
      <c r="N23" s="732"/>
      <c r="O23" s="13">
        <f t="shared" si="0"/>
        <v>15</v>
      </c>
    </row>
    <row r="24" spans="1:15" ht="25" customHeight="1" thickBot="1" x14ac:dyDescent="0.3">
      <c r="A24" s="45" t="s">
        <v>66</v>
      </c>
      <c r="B24" s="179"/>
      <c r="C24" s="70"/>
      <c r="D24" s="179"/>
      <c r="E24" s="70"/>
      <c r="F24" s="70"/>
      <c r="G24" s="67"/>
      <c r="H24" s="245"/>
      <c r="I24" s="70"/>
      <c r="J24" s="281"/>
      <c r="K24" s="282"/>
      <c r="L24" s="70"/>
      <c r="M24" s="14"/>
      <c r="N24" s="732"/>
      <c r="O24" s="13">
        <f t="shared" si="0"/>
        <v>0</v>
      </c>
    </row>
    <row r="25" spans="1:15" ht="25" customHeight="1" thickBot="1" x14ac:dyDescent="0.3">
      <c r="A25" s="45" t="s">
        <v>67</v>
      </c>
      <c r="B25" s="179">
        <v>12</v>
      </c>
      <c r="C25" s="70"/>
      <c r="D25" s="179"/>
      <c r="E25" s="70"/>
      <c r="F25" s="70"/>
      <c r="G25" s="67"/>
      <c r="H25" s="245">
        <v>12</v>
      </c>
      <c r="I25" s="70"/>
      <c r="J25" s="281"/>
      <c r="K25" s="282"/>
      <c r="L25" s="70"/>
      <c r="M25" s="14"/>
      <c r="N25" s="732"/>
      <c r="O25" s="13">
        <f t="shared" si="0"/>
        <v>24</v>
      </c>
    </row>
    <row r="26" spans="1:15" ht="25" customHeight="1" thickBot="1" x14ac:dyDescent="0.3">
      <c r="A26" s="45" t="s">
        <v>109</v>
      </c>
      <c r="B26" s="179">
        <v>5</v>
      </c>
      <c r="C26" s="70"/>
      <c r="D26" s="179"/>
      <c r="E26" s="70"/>
      <c r="F26" s="70"/>
      <c r="G26" s="67"/>
      <c r="H26" s="245">
        <v>25</v>
      </c>
      <c r="I26" s="70"/>
      <c r="J26" s="281"/>
      <c r="K26" s="282"/>
      <c r="L26" s="70"/>
      <c r="M26" s="14"/>
      <c r="N26" s="731"/>
      <c r="O26" s="13">
        <f t="shared" si="0"/>
        <v>30</v>
      </c>
    </row>
    <row r="27" spans="1:15" ht="25" customHeight="1" thickBot="1" x14ac:dyDescent="0.3">
      <c r="A27" s="45" t="s">
        <v>68</v>
      </c>
      <c r="B27" s="179"/>
      <c r="C27" s="70"/>
      <c r="D27" s="179"/>
      <c r="E27" s="70"/>
      <c r="F27" s="70"/>
      <c r="G27" s="67"/>
      <c r="H27" s="245"/>
      <c r="I27" s="70"/>
      <c r="J27" s="281"/>
      <c r="K27" s="282"/>
      <c r="L27" s="70"/>
      <c r="M27" s="14"/>
      <c r="N27" s="731"/>
      <c r="O27" s="13">
        <f t="shared" si="0"/>
        <v>0</v>
      </c>
    </row>
    <row r="28" spans="1:15" ht="25" customHeight="1" thickBot="1" x14ac:dyDescent="0.3">
      <c r="A28" s="44" t="s">
        <v>0</v>
      </c>
      <c r="B28" s="181">
        <f t="shared" ref="B28:M28" si="5">SUM(B19:B27)</f>
        <v>42</v>
      </c>
      <c r="C28" s="71">
        <f t="shared" si="5"/>
        <v>0</v>
      </c>
      <c r="D28" s="181">
        <f t="shared" si="5"/>
        <v>0</v>
      </c>
      <c r="E28" s="71">
        <f t="shared" si="5"/>
        <v>0</v>
      </c>
      <c r="F28" s="71">
        <f t="shared" si="5"/>
        <v>0</v>
      </c>
      <c r="G28" s="67"/>
      <c r="H28" s="244">
        <f t="shared" si="5"/>
        <v>80</v>
      </c>
      <c r="I28" s="71">
        <f t="shared" si="5"/>
        <v>0</v>
      </c>
      <c r="J28" s="271">
        <f t="shared" si="5"/>
        <v>0</v>
      </c>
      <c r="K28" s="272">
        <f t="shared" si="5"/>
        <v>0</v>
      </c>
      <c r="L28" s="71">
        <f t="shared" si="5"/>
        <v>0</v>
      </c>
      <c r="M28" s="4">
        <f t="shared" si="5"/>
        <v>0</v>
      </c>
      <c r="N28" s="731"/>
      <c r="O28" s="13">
        <f t="shared" si="0"/>
        <v>122</v>
      </c>
    </row>
    <row r="29" spans="1:15" ht="25" customHeight="1" thickBot="1" x14ac:dyDescent="0.3">
      <c r="A29" s="47" t="s">
        <v>21</v>
      </c>
      <c r="B29" s="182"/>
      <c r="C29" s="72"/>
      <c r="D29" s="182"/>
      <c r="E29" s="72"/>
      <c r="F29" s="72"/>
      <c r="G29" s="230"/>
      <c r="H29" s="247"/>
      <c r="I29" s="72"/>
      <c r="J29" s="284"/>
      <c r="K29" s="285"/>
      <c r="L29" s="72"/>
      <c r="M29" s="15"/>
      <c r="N29" s="731"/>
      <c r="O29" s="13">
        <f t="shared" si="0"/>
        <v>0</v>
      </c>
    </row>
    <row r="30" spans="1:15" ht="25" customHeight="1" thickBot="1" x14ac:dyDescent="0.3">
      <c r="A30" s="47" t="s">
        <v>56</v>
      </c>
      <c r="B30" s="182">
        <v>60</v>
      </c>
      <c r="C30" s="72">
        <v>40</v>
      </c>
      <c r="D30" s="182"/>
      <c r="E30" s="72"/>
      <c r="F30" s="72"/>
      <c r="G30" s="230"/>
      <c r="H30" s="247">
        <v>100</v>
      </c>
      <c r="I30" s="72"/>
      <c r="J30" s="284"/>
      <c r="K30" s="285"/>
      <c r="L30" s="72"/>
      <c r="M30" s="15"/>
      <c r="N30" s="731"/>
      <c r="O30" s="13">
        <f t="shared" si="0"/>
        <v>200</v>
      </c>
    </row>
    <row r="31" spans="1:15" ht="25" customHeight="1" thickBot="1" x14ac:dyDescent="0.3">
      <c r="A31" s="47" t="s">
        <v>22</v>
      </c>
      <c r="B31" s="182"/>
      <c r="C31" s="72"/>
      <c r="D31" s="182"/>
      <c r="E31" s="72"/>
      <c r="F31" s="72"/>
      <c r="G31" s="230"/>
      <c r="H31" s="247"/>
      <c r="I31" s="72"/>
      <c r="J31" s="284"/>
      <c r="K31" s="285"/>
      <c r="L31" s="72"/>
      <c r="M31" s="15"/>
      <c r="N31" s="731"/>
      <c r="O31" s="13">
        <f t="shared" si="0"/>
        <v>0</v>
      </c>
    </row>
    <row r="32" spans="1:15" ht="25" customHeight="1" thickBot="1" x14ac:dyDescent="0.3">
      <c r="A32" s="47" t="s">
        <v>23</v>
      </c>
      <c r="B32" s="183"/>
      <c r="C32" s="194"/>
      <c r="D32" s="182"/>
      <c r="E32" s="194"/>
      <c r="F32" s="194"/>
      <c r="G32" s="230"/>
      <c r="H32" s="248"/>
      <c r="I32" s="194"/>
      <c r="J32" s="286"/>
      <c r="K32" s="287"/>
      <c r="L32" s="194"/>
      <c r="M32" s="16"/>
      <c r="N32" s="731"/>
      <c r="O32" s="13">
        <f t="shared" si="0"/>
        <v>0</v>
      </c>
    </row>
    <row r="33" spans="1:15" ht="25" customHeight="1" thickBot="1" x14ac:dyDescent="0.3">
      <c r="A33" s="47" t="s">
        <v>55</v>
      </c>
      <c r="B33" s="182"/>
      <c r="C33" s="72"/>
      <c r="D33" s="182"/>
      <c r="E33" s="72"/>
      <c r="F33" s="72"/>
      <c r="G33" s="68"/>
      <c r="H33" s="247"/>
      <c r="I33" s="72"/>
      <c r="J33" s="284"/>
      <c r="K33" s="285"/>
      <c r="L33" s="72"/>
      <c r="M33" s="15"/>
      <c r="N33" s="732"/>
      <c r="O33" s="13">
        <f t="shared" si="0"/>
        <v>0</v>
      </c>
    </row>
    <row r="34" spans="1:15" ht="25" customHeight="1" thickBot="1" x14ac:dyDescent="0.3">
      <c r="A34" s="47" t="s">
        <v>58</v>
      </c>
      <c r="B34" s="182"/>
      <c r="C34" s="72"/>
      <c r="D34" s="182"/>
      <c r="E34" s="72"/>
      <c r="F34" s="72"/>
      <c r="G34" s="68"/>
      <c r="H34" s="247"/>
      <c r="I34" s="72"/>
      <c r="J34" s="284"/>
      <c r="K34" s="285"/>
      <c r="L34" s="72"/>
      <c r="M34" s="15"/>
      <c r="N34" s="732"/>
      <c r="O34" s="13"/>
    </row>
    <row r="35" spans="1:15" ht="25" customHeight="1" thickBot="1" x14ac:dyDescent="0.3">
      <c r="A35" s="47" t="s">
        <v>77</v>
      </c>
      <c r="B35" s="182"/>
      <c r="C35" s="72"/>
      <c r="D35" s="182"/>
      <c r="E35" s="72"/>
      <c r="F35" s="72"/>
      <c r="G35" s="68"/>
      <c r="H35" s="247"/>
      <c r="I35" s="72"/>
      <c r="J35" s="284"/>
      <c r="K35" s="285"/>
      <c r="L35" s="72"/>
      <c r="M35" s="15"/>
      <c r="N35" s="732"/>
      <c r="O35" s="13"/>
    </row>
    <row r="36" spans="1:15" ht="25" customHeight="1" thickBot="1" x14ac:dyDescent="0.3">
      <c r="A36" s="201" t="s">
        <v>106</v>
      </c>
      <c r="B36" s="182"/>
      <c r="C36" s="72"/>
      <c r="D36" s="182"/>
      <c r="E36" s="72"/>
      <c r="F36" s="72"/>
      <c r="G36" s="68"/>
      <c r="H36" s="247"/>
      <c r="I36" s="72"/>
      <c r="J36" s="284"/>
      <c r="K36" s="285"/>
      <c r="L36" s="72"/>
      <c r="M36" s="15"/>
      <c r="N36" s="732"/>
      <c r="O36" s="13"/>
    </row>
    <row r="37" spans="1:15" ht="25" customHeight="1" thickBot="1" x14ac:dyDescent="0.25">
      <c r="A37" s="211" t="s">
        <v>0</v>
      </c>
      <c r="B37" s="203"/>
      <c r="C37" s="203"/>
      <c r="D37" s="203"/>
      <c r="E37" s="73">
        <f>SUM(E29:E36)</f>
        <v>0</v>
      </c>
      <c r="F37" s="72"/>
      <c r="G37" s="68"/>
      <c r="H37" s="247"/>
      <c r="I37" s="72"/>
      <c r="J37" s="284"/>
      <c r="K37" s="288"/>
      <c r="L37" s="72"/>
      <c r="M37" s="202"/>
      <c r="N37" s="732"/>
      <c r="O37" s="13">
        <f t="shared" si="0"/>
        <v>0</v>
      </c>
    </row>
    <row r="38" spans="1:15" ht="25" customHeight="1" thickBot="1" x14ac:dyDescent="0.25">
      <c r="A38" s="212" t="s">
        <v>103</v>
      </c>
      <c r="B38" s="205"/>
      <c r="C38" s="205"/>
      <c r="D38" s="205"/>
      <c r="E38" s="73"/>
      <c r="F38" s="72"/>
      <c r="G38" s="68"/>
      <c r="H38" s="247"/>
      <c r="I38" s="72"/>
      <c r="J38" s="284"/>
      <c r="K38" s="288"/>
      <c r="L38" s="72"/>
      <c r="M38" s="204"/>
      <c r="N38" s="732"/>
      <c r="O38" s="13"/>
    </row>
    <row r="39" spans="1:15" ht="25" customHeight="1" thickBot="1" x14ac:dyDescent="0.25">
      <c r="A39" s="212"/>
      <c r="B39" s="205"/>
      <c r="C39" s="205"/>
      <c r="D39" s="205"/>
      <c r="E39" s="73"/>
      <c r="F39" s="72"/>
      <c r="G39" s="68"/>
      <c r="H39" s="247"/>
      <c r="I39" s="72"/>
      <c r="J39" s="284"/>
      <c r="K39" s="288"/>
      <c r="L39" s="72"/>
      <c r="M39" s="204"/>
      <c r="N39" s="732"/>
      <c r="O39" s="13"/>
    </row>
    <row r="40" spans="1:15" ht="25" customHeight="1" thickBot="1" x14ac:dyDescent="0.25">
      <c r="A40" s="212"/>
      <c r="B40" s="205"/>
      <c r="C40" s="205"/>
      <c r="D40" s="205"/>
      <c r="E40" s="73"/>
      <c r="F40" s="72"/>
      <c r="G40" s="68"/>
      <c r="H40" s="247"/>
      <c r="I40" s="72"/>
      <c r="J40" s="284"/>
      <c r="K40" s="288"/>
      <c r="L40" s="72"/>
      <c r="M40" s="204"/>
      <c r="N40" s="732"/>
      <c r="O40" s="13"/>
    </row>
    <row r="41" spans="1:15" ht="25" customHeight="1" thickBot="1" x14ac:dyDescent="0.25">
      <c r="A41" s="214" t="s">
        <v>0</v>
      </c>
      <c r="B41" s="205"/>
      <c r="C41" s="205"/>
      <c r="D41" s="205"/>
      <c r="E41" s="73">
        <f>SUM(E38:E40)</f>
        <v>0</v>
      </c>
      <c r="F41" s="73">
        <f t="shared" ref="F41:L41" si="6">SUM(F38:F40)</f>
        <v>0</v>
      </c>
      <c r="G41" s="73">
        <f t="shared" si="6"/>
        <v>0</v>
      </c>
      <c r="H41" s="249">
        <f t="shared" si="6"/>
        <v>0</v>
      </c>
      <c r="I41" s="73">
        <f t="shared" si="6"/>
        <v>0</v>
      </c>
      <c r="J41" s="289">
        <f t="shared" si="6"/>
        <v>0</v>
      </c>
      <c r="K41" s="290">
        <f t="shared" si="6"/>
        <v>0</v>
      </c>
      <c r="L41" s="73">
        <f t="shared" si="6"/>
        <v>0</v>
      </c>
      <c r="M41" s="5">
        <f>SUM(M29:M40)</f>
        <v>0</v>
      </c>
      <c r="N41" s="732"/>
      <c r="O41" s="13"/>
    </row>
    <row r="42" spans="1:15" ht="25" customHeight="1" thickBot="1" x14ac:dyDescent="0.25">
      <c r="A42" s="213" t="s">
        <v>105</v>
      </c>
      <c r="B42" s="205"/>
      <c r="C42" s="205"/>
      <c r="D42" s="205"/>
      <c r="E42" s="73"/>
      <c r="F42" s="73"/>
      <c r="G42" s="73"/>
      <c r="H42" s="249"/>
      <c r="I42" s="73"/>
      <c r="J42" s="289"/>
      <c r="K42" s="288"/>
      <c r="L42" s="72"/>
      <c r="M42" s="204"/>
      <c r="N42" s="732"/>
      <c r="O42" s="13"/>
    </row>
    <row r="43" spans="1:15" ht="25" customHeight="1" thickBot="1" x14ac:dyDescent="0.25">
      <c r="A43" s="213" t="s">
        <v>59</v>
      </c>
      <c r="B43" s="205"/>
      <c r="C43" s="205"/>
      <c r="D43" s="205"/>
      <c r="E43" s="73"/>
      <c r="F43" s="72"/>
      <c r="G43" s="68"/>
      <c r="H43" s="247"/>
      <c r="I43" s="72"/>
      <c r="J43" s="284"/>
      <c r="K43" s="288"/>
      <c r="L43" s="72"/>
      <c r="M43" s="204"/>
      <c r="N43" s="732"/>
      <c r="O43" s="13"/>
    </row>
    <row r="44" spans="1:15" ht="25" customHeight="1" thickBot="1" x14ac:dyDescent="0.25">
      <c r="A44" s="44" t="s">
        <v>59</v>
      </c>
      <c r="B44" s="184">
        <f>SUM(B29:B43)</f>
        <v>60</v>
      </c>
      <c r="C44" s="73">
        <f>SUM(C29:C43)</f>
        <v>40</v>
      </c>
      <c r="D44" s="198">
        <f>SUM(D29:D43)</f>
        <v>0</v>
      </c>
      <c r="E44" s="73">
        <f t="shared" ref="E44:M44" si="7">SUM(E42:E43)</f>
        <v>0</v>
      </c>
      <c r="F44" s="73">
        <f t="shared" si="7"/>
        <v>0</v>
      </c>
      <c r="G44" s="73">
        <f t="shared" si="7"/>
        <v>0</v>
      </c>
      <c r="H44" s="249">
        <f t="shared" si="7"/>
        <v>0</v>
      </c>
      <c r="I44" s="73">
        <f t="shared" si="7"/>
        <v>0</v>
      </c>
      <c r="J44" s="289">
        <f t="shared" si="7"/>
        <v>0</v>
      </c>
      <c r="K44" s="290">
        <f t="shared" si="7"/>
        <v>0</v>
      </c>
      <c r="L44" s="73">
        <f t="shared" si="7"/>
        <v>0</v>
      </c>
      <c r="M44" s="5">
        <f t="shared" si="7"/>
        <v>0</v>
      </c>
      <c r="N44" s="731"/>
      <c r="O44" s="13">
        <f>SUM(B44:M44)</f>
        <v>100</v>
      </c>
    </row>
    <row r="45" spans="1:15" ht="25" customHeight="1" thickBot="1" x14ac:dyDescent="0.25">
      <c r="A45" s="48" t="s">
        <v>16</v>
      </c>
      <c r="B45" s="185"/>
      <c r="C45" s="195"/>
      <c r="D45" s="185"/>
      <c r="E45" s="195"/>
      <c r="F45" s="195"/>
      <c r="G45" s="195"/>
      <c r="H45" s="250"/>
      <c r="I45" s="195"/>
      <c r="J45" s="291"/>
      <c r="K45" s="292"/>
      <c r="L45" s="195"/>
      <c r="M45" s="31"/>
      <c r="N45" s="731"/>
      <c r="O45" s="13">
        <f>SUM(B45:M45)</f>
        <v>0</v>
      </c>
    </row>
    <row r="46" spans="1:15" ht="25" customHeight="1" thickBot="1" x14ac:dyDescent="0.25">
      <c r="A46" s="44" t="s">
        <v>0</v>
      </c>
      <c r="B46" s="181">
        <f t="shared" ref="B46:M46" si="8">SUM(B45:B45)</f>
        <v>0</v>
      </c>
      <c r="C46" s="71">
        <f t="shared" si="8"/>
        <v>0</v>
      </c>
      <c r="D46" s="181">
        <f t="shared" si="8"/>
        <v>0</v>
      </c>
      <c r="E46" s="71">
        <f t="shared" si="8"/>
        <v>0</v>
      </c>
      <c r="F46" s="71">
        <f t="shared" si="8"/>
        <v>0</v>
      </c>
      <c r="G46" s="67">
        <f t="shared" si="8"/>
        <v>0</v>
      </c>
      <c r="H46" s="244">
        <f t="shared" si="8"/>
        <v>0</v>
      </c>
      <c r="I46" s="71">
        <f t="shared" si="8"/>
        <v>0</v>
      </c>
      <c r="J46" s="271">
        <f t="shared" si="8"/>
        <v>0</v>
      </c>
      <c r="K46" s="293">
        <f t="shared" si="8"/>
        <v>0</v>
      </c>
      <c r="L46" s="71">
        <f t="shared" si="8"/>
        <v>0</v>
      </c>
      <c r="M46" s="4">
        <f t="shared" si="8"/>
        <v>0</v>
      </c>
      <c r="N46" s="731"/>
      <c r="O46" s="13">
        <f>SUM(B46:M46)</f>
        <v>0</v>
      </c>
    </row>
    <row r="47" spans="1:15" ht="25" customHeight="1" thickBot="1" x14ac:dyDescent="0.3">
      <c r="A47" s="45" t="s">
        <v>52</v>
      </c>
      <c r="B47" s="179"/>
      <c r="C47" s="70"/>
      <c r="D47" s="179"/>
      <c r="E47" s="70"/>
      <c r="F47" s="70"/>
      <c r="G47" s="67"/>
      <c r="H47" s="245"/>
      <c r="I47" s="70"/>
      <c r="J47" s="281"/>
      <c r="K47" s="282"/>
      <c r="L47" s="70"/>
      <c r="M47" s="14"/>
      <c r="N47" s="732"/>
      <c r="O47" s="13"/>
    </row>
    <row r="48" spans="1:15" ht="25" customHeight="1" thickBot="1" x14ac:dyDescent="0.3">
      <c r="A48" s="45" t="s">
        <v>44</v>
      </c>
      <c r="B48" s="179"/>
      <c r="C48" s="70"/>
      <c r="D48" s="179"/>
      <c r="E48" s="70"/>
      <c r="F48" s="70"/>
      <c r="G48" s="67"/>
      <c r="H48" s="245"/>
      <c r="I48" s="70"/>
      <c r="J48" s="281"/>
      <c r="K48" s="282">
        <v>100</v>
      </c>
      <c r="L48" s="70"/>
      <c r="M48" s="14"/>
      <c r="N48" s="732"/>
      <c r="O48" s="13">
        <f t="shared" ref="O48:O64" si="9">SUM(B48:M48)</f>
        <v>100</v>
      </c>
    </row>
    <row r="49" spans="1:15" ht="25" customHeight="1" thickBot="1" x14ac:dyDescent="0.3">
      <c r="A49" s="45" t="s">
        <v>82</v>
      </c>
      <c r="B49" s="179"/>
      <c r="C49" s="70"/>
      <c r="D49" s="179"/>
      <c r="E49" s="70"/>
      <c r="F49" s="70"/>
      <c r="G49" s="67"/>
      <c r="H49" s="245"/>
      <c r="I49" s="70"/>
      <c r="J49" s="281"/>
      <c r="K49" s="282"/>
      <c r="L49" s="70"/>
      <c r="M49" s="14"/>
      <c r="N49" s="732"/>
      <c r="O49" s="13"/>
    </row>
    <row r="50" spans="1:15" ht="25" customHeight="1" thickBot="1" x14ac:dyDescent="0.3">
      <c r="A50" s="45" t="s">
        <v>28</v>
      </c>
      <c r="B50" s="179"/>
      <c r="C50" s="70"/>
      <c r="D50" s="179"/>
      <c r="E50" s="70"/>
      <c r="F50" s="70"/>
      <c r="G50" s="67"/>
      <c r="H50" s="245"/>
      <c r="I50" s="70"/>
      <c r="J50" s="281"/>
      <c r="K50" s="282"/>
      <c r="L50" s="70"/>
      <c r="M50" s="14"/>
      <c r="N50" s="732"/>
      <c r="O50" s="13">
        <f t="shared" si="9"/>
        <v>0</v>
      </c>
    </row>
    <row r="51" spans="1:15" ht="25" customHeight="1" thickBot="1" x14ac:dyDescent="0.3">
      <c r="A51" s="45" t="s">
        <v>84</v>
      </c>
      <c r="B51" s="179"/>
      <c r="C51" s="70"/>
      <c r="D51" s="179"/>
      <c r="E51" s="70"/>
      <c r="F51" s="70"/>
      <c r="G51" s="67"/>
      <c r="H51" s="245"/>
      <c r="I51" s="70"/>
      <c r="J51" s="281"/>
      <c r="K51" s="282"/>
      <c r="L51" s="70"/>
      <c r="M51" s="14"/>
      <c r="N51" s="732"/>
      <c r="O51" s="13">
        <f t="shared" si="9"/>
        <v>0</v>
      </c>
    </row>
    <row r="52" spans="1:15" ht="25" customHeight="1" thickBot="1" x14ac:dyDescent="0.3">
      <c r="A52" s="45" t="s">
        <v>104</v>
      </c>
      <c r="B52" s="179"/>
      <c r="C52" s="70"/>
      <c r="D52" s="179"/>
      <c r="E52" s="70"/>
      <c r="F52" s="70"/>
      <c r="G52" s="67"/>
      <c r="H52" s="245"/>
      <c r="I52" s="70"/>
      <c r="J52" s="281"/>
      <c r="K52" s="282"/>
      <c r="L52" s="70"/>
      <c r="M52" s="14"/>
      <c r="N52" s="732"/>
      <c r="O52" s="13"/>
    </row>
    <row r="53" spans="1:15" ht="25" customHeight="1" thickBot="1" x14ac:dyDescent="0.3">
      <c r="A53" s="45" t="s">
        <v>101</v>
      </c>
      <c r="B53" s="179"/>
      <c r="C53" s="70"/>
      <c r="D53" s="179"/>
      <c r="E53" s="70"/>
      <c r="F53" s="70"/>
      <c r="G53" s="67"/>
      <c r="H53" s="245"/>
      <c r="I53" s="70"/>
      <c r="J53" s="281"/>
      <c r="K53" s="282"/>
      <c r="L53" s="70"/>
      <c r="M53" s="14"/>
      <c r="N53" s="732"/>
      <c r="O53" s="13"/>
    </row>
    <row r="54" spans="1:15" ht="25" customHeight="1" thickBot="1" x14ac:dyDescent="0.3">
      <c r="A54" s="45" t="s">
        <v>102</v>
      </c>
      <c r="B54" s="179"/>
      <c r="C54" s="70"/>
      <c r="D54" s="179"/>
      <c r="E54" s="70"/>
      <c r="F54" s="70"/>
      <c r="G54" s="67"/>
      <c r="H54" s="245"/>
      <c r="I54" s="70"/>
      <c r="J54" s="281"/>
      <c r="K54" s="282"/>
      <c r="L54" s="70"/>
      <c r="M54" s="14"/>
      <c r="N54" s="732"/>
      <c r="O54" s="13"/>
    </row>
    <row r="55" spans="1:15" ht="25" customHeight="1" thickBot="1" x14ac:dyDescent="0.3">
      <c r="A55" s="45" t="s">
        <v>29</v>
      </c>
      <c r="B55" s="179"/>
      <c r="C55" s="70"/>
      <c r="D55" s="179"/>
      <c r="E55" s="70"/>
      <c r="F55" s="70"/>
      <c r="G55" s="67"/>
      <c r="H55" s="245"/>
      <c r="I55" s="70"/>
      <c r="J55" s="281"/>
      <c r="K55" s="282"/>
      <c r="L55" s="70"/>
      <c r="M55" s="14"/>
      <c r="N55" s="732"/>
      <c r="O55" s="13">
        <f t="shared" si="9"/>
        <v>0</v>
      </c>
    </row>
    <row r="56" spans="1:15" ht="25" customHeight="1" thickBot="1" x14ac:dyDescent="0.3">
      <c r="A56" s="45" t="s">
        <v>32</v>
      </c>
      <c r="B56" s="179"/>
      <c r="C56" s="70"/>
      <c r="D56" s="179"/>
      <c r="E56" s="70"/>
      <c r="F56" s="70"/>
      <c r="G56" s="229"/>
      <c r="H56" s="245"/>
      <c r="I56" s="70"/>
      <c r="J56" s="281"/>
      <c r="K56" s="282"/>
      <c r="L56" s="70"/>
      <c r="M56" s="14"/>
      <c r="N56" s="732"/>
      <c r="O56" s="13">
        <f t="shared" si="9"/>
        <v>0</v>
      </c>
    </row>
    <row r="57" spans="1:15" ht="25" customHeight="1" thickBot="1" x14ac:dyDescent="0.3">
      <c r="A57" s="50" t="s">
        <v>0</v>
      </c>
      <c r="B57" s="186">
        <f t="shared" ref="B57:M57" si="10">SUM(B47:B56)</f>
        <v>0</v>
      </c>
      <c r="C57" s="108">
        <f t="shared" si="10"/>
        <v>0</v>
      </c>
      <c r="D57" s="199">
        <f t="shared" si="10"/>
        <v>0</v>
      </c>
      <c r="E57" s="74">
        <f t="shared" si="10"/>
        <v>0</v>
      </c>
      <c r="F57" s="74">
        <f t="shared" si="10"/>
        <v>0</v>
      </c>
      <c r="G57" s="239">
        <f t="shared" si="10"/>
        <v>0</v>
      </c>
      <c r="H57" s="251">
        <f t="shared" si="10"/>
        <v>0</v>
      </c>
      <c r="I57" s="74">
        <f t="shared" si="10"/>
        <v>0</v>
      </c>
      <c r="J57" s="294">
        <f t="shared" si="10"/>
        <v>0</v>
      </c>
      <c r="K57" s="295"/>
      <c r="L57" s="74">
        <f t="shared" si="10"/>
        <v>0</v>
      </c>
      <c r="M57" s="6">
        <f t="shared" si="10"/>
        <v>0</v>
      </c>
      <c r="N57" s="731"/>
      <c r="O57" s="13">
        <f t="shared" si="9"/>
        <v>0</v>
      </c>
    </row>
    <row r="58" spans="1:15" ht="25" customHeight="1" thickBot="1" x14ac:dyDescent="0.3">
      <c r="A58" s="51"/>
      <c r="B58" s="187"/>
      <c r="C58" s="75"/>
      <c r="D58" s="187"/>
      <c r="E58" s="75"/>
      <c r="F58" s="75"/>
      <c r="G58" s="240"/>
      <c r="H58" s="252"/>
      <c r="I58" s="75"/>
      <c r="J58" s="296"/>
      <c r="K58" s="297"/>
      <c r="L58" s="75"/>
      <c r="M58" s="17"/>
      <c r="N58" s="731"/>
      <c r="O58" s="13">
        <f t="shared" si="9"/>
        <v>0</v>
      </c>
    </row>
    <row r="59" spans="1:15" ht="33" customHeight="1" thickBot="1" x14ac:dyDescent="0.3">
      <c r="A59" s="47" t="s">
        <v>33</v>
      </c>
      <c r="B59" s="188"/>
      <c r="C59" s="196"/>
      <c r="D59" s="188"/>
      <c r="E59" s="196"/>
      <c r="F59" s="196"/>
      <c r="G59" s="228"/>
      <c r="H59" s="253"/>
      <c r="I59" s="196"/>
      <c r="J59" s="298"/>
      <c r="K59" s="285"/>
      <c r="L59" s="72"/>
      <c r="M59" s="18"/>
      <c r="N59" s="731"/>
      <c r="O59" s="13">
        <f t="shared" si="9"/>
        <v>0</v>
      </c>
    </row>
    <row r="60" spans="1:15" ht="37" customHeight="1" thickBot="1" x14ac:dyDescent="0.25">
      <c r="A60" s="52" t="s">
        <v>40</v>
      </c>
      <c r="B60" s="188"/>
      <c r="C60" s="196"/>
      <c r="D60" s="188"/>
      <c r="E60" s="196"/>
      <c r="F60" s="196"/>
      <c r="G60" s="228"/>
      <c r="H60" s="253"/>
      <c r="I60" s="196"/>
      <c r="J60" s="298"/>
      <c r="K60" s="288"/>
      <c r="L60" s="72"/>
      <c r="M60" s="18"/>
      <c r="N60" s="731"/>
      <c r="O60" s="13">
        <f t="shared" si="9"/>
        <v>0</v>
      </c>
    </row>
    <row r="61" spans="1:15" ht="34" customHeight="1" thickBot="1" x14ac:dyDescent="0.3">
      <c r="A61" s="47" t="s">
        <v>34</v>
      </c>
      <c r="B61" s="188"/>
      <c r="C61" s="196"/>
      <c r="D61" s="188"/>
      <c r="E61" s="196"/>
      <c r="F61" s="196"/>
      <c r="G61" s="228"/>
      <c r="H61" s="261"/>
      <c r="I61" s="68"/>
      <c r="J61" s="299"/>
      <c r="K61" s="285"/>
      <c r="L61" s="72"/>
      <c r="M61" s="15"/>
      <c r="N61" s="732"/>
      <c r="O61" s="13">
        <f t="shared" si="9"/>
        <v>0</v>
      </c>
    </row>
    <row r="62" spans="1:15" ht="34" customHeight="1" thickBot="1" x14ac:dyDescent="0.25">
      <c r="A62" s="47" t="s">
        <v>79</v>
      </c>
      <c r="B62" s="188"/>
      <c r="C62" s="196"/>
      <c r="D62" s="188"/>
      <c r="E62" s="196"/>
      <c r="F62" s="196"/>
      <c r="G62" s="228"/>
      <c r="H62" s="261"/>
      <c r="I62" s="68"/>
      <c r="J62" s="299"/>
      <c r="K62" s="288"/>
      <c r="L62" s="72"/>
      <c r="M62" s="305"/>
      <c r="N62" s="732"/>
      <c r="O62" s="13">
        <f>SUM(B62:M62)</f>
        <v>0</v>
      </c>
    </row>
    <row r="63" spans="1:15" ht="34" customHeight="1" thickBot="1" x14ac:dyDescent="0.25">
      <c r="A63" s="47" t="s">
        <v>73</v>
      </c>
      <c r="B63" s="188"/>
      <c r="C63" s="196"/>
      <c r="D63" s="188"/>
      <c r="E63" s="196"/>
      <c r="F63" s="196"/>
      <c r="G63" s="188"/>
      <c r="H63" s="253"/>
      <c r="I63" s="196"/>
      <c r="J63" s="298"/>
      <c r="K63" s="288"/>
      <c r="L63" s="72"/>
      <c r="M63" s="191"/>
      <c r="N63" s="731"/>
      <c r="O63" s="13">
        <f t="shared" si="9"/>
        <v>0</v>
      </c>
    </row>
    <row r="64" spans="1:15" ht="25" customHeight="1" thickBot="1" x14ac:dyDescent="0.3">
      <c r="A64" s="53" t="s">
        <v>0</v>
      </c>
      <c r="B64" s="189">
        <f>SUM(B58:B63)</f>
        <v>0</v>
      </c>
      <c r="C64" s="76">
        <f t="shared" ref="C64:F64" si="11">SUM(C58:C63)</f>
        <v>0</v>
      </c>
      <c r="D64" s="189">
        <f t="shared" si="11"/>
        <v>0</v>
      </c>
      <c r="E64" s="76">
        <f t="shared" si="11"/>
        <v>0</v>
      </c>
      <c r="F64" s="76">
        <f t="shared" si="11"/>
        <v>0</v>
      </c>
      <c r="G64" s="241">
        <v>2</v>
      </c>
      <c r="H64" s="262">
        <f>SUM(H58:H63)</f>
        <v>0</v>
      </c>
      <c r="I64" s="76">
        <f t="shared" ref="I64:L64" si="12">SUM(I58:I63)</f>
        <v>0</v>
      </c>
      <c r="J64" s="300">
        <f t="shared" si="12"/>
        <v>0</v>
      </c>
      <c r="K64" s="301">
        <f t="shared" si="12"/>
        <v>0</v>
      </c>
      <c r="L64" s="76">
        <f t="shared" si="12"/>
        <v>0</v>
      </c>
      <c r="M64" s="7"/>
      <c r="N64" s="733"/>
      <c r="O64" s="13">
        <f t="shared" si="9"/>
        <v>2</v>
      </c>
    </row>
    <row r="65" spans="1:15" ht="25" customHeight="1" thickTop="1" x14ac:dyDescent="0.2">
      <c r="A65" s="750"/>
      <c r="B65" s="751"/>
      <c r="C65" s="751"/>
      <c r="D65" s="751"/>
      <c r="E65" s="751"/>
      <c r="F65" s="751"/>
      <c r="G65" s="751"/>
      <c r="H65" s="751"/>
      <c r="I65" s="751"/>
      <c r="J65" s="751"/>
      <c r="K65" s="751"/>
      <c r="L65" s="751"/>
      <c r="M65" s="751"/>
      <c r="N65" s="751"/>
      <c r="O65" s="752"/>
    </row>
    <row r="66" spans="1:15" ht="25" customHeight="1" thickBot="1" x14ac:dyDescent="0.25">
      <c r="A66" s="753"/>
      <c r="B66" s="754"/>
      <c r="C66" s="754"/>
      <c r="D66" s="754"/>
      <c r="E66" s="754"/>
      <c r="F66" s="754"/>
      <c r="G66" s="754"/>
      <c r="H66" s="754"/>
      <c r="I66" s="754"/>
      <c r="J66" s="754"/>
      <c r="K66" s="754"/>
      <c r="L66" s="754"/>
      <c r="M66" s="754"/>
      <c r="N66" s="754"/>
      <c r="O66" s="755"/>
    </row>
    <row r="67" spans="1:15" ht="25" customHeight="1" thickBot="1" x14ac:dyDescent="0.25">
      <c r="A67" s="54" t="s">
        <v>0</v>
      </c>
      <c r="B67" s="174"/>
      <c r="C67" s="77"/>
      <c r="D67" s="174">
        <f>SUM(D6+D11+D18+D28+D44+D46+D57+D64)</f>
        <v>0</v>
      </c>
      <c r="E67" s="77"/>
      <c r="F67" s="77">
        <f t="shared" ref="F67:M67" si="13">SUM(F6+F11+F18+F28+F37+F41+F44+F46+F57+F64)</f>
        <v>0</v>
      </c>
      <c r="G67" s="231"/>
      <c r="H67" s="254">
        <f t="shared" si="13"/>
        <v>315</v>
      </c>
      <c r="I67" s="77">
        <f t="shared" si="13"/>
        <v>0</v>
      </c>
      <c r="J67" s="264">
        <f t="shared" si="13"/>
        <v>0</v>
      </c>
      <c r="K67" s="265">
        <f t="shared" si="13"/>
        <v>0</v>
      </c>
      <c r="L67" s="77">
        <f t="shared" si="13"/>
        <v>0</v>
      </c>
      <c r="M67" s="19">
        <f t="shared" si="13"/>
        <v>0</v>
      </c>
      <c r="N67" s="745"/>
      <c r="O67" s="2">
        <f t="shared" ref="O67:O76" si="14">SUM(B67:M67)</f>
        <v>315</v>
      </c>
    </row>
    <row r="68" spans="1:15" ht="25" customHeight="1" thickBot="1" x14ac:dyDescent="0.25">
      <c r="A68" s="54" t="s">
        <v>41</v>
      </c>
      <c r="B68" s="174">
        <v>690</v>
      </c>
      <c r="C68" s="77"/>
      <c r="D68" s="174"/>
      <c r="E68" s="77"/>
      <c r="F68" s="77"/>
      <c r="G68" s="231"/>
      <c r="H68" s="254">
        <v>270</v>
      </c>
      <c r="I68" s="77"/>
      <c r="J68" s="264"/>
      <c r="K68" s="265"/>
      <c r="L68" s="77"/>
      <c r="M68" s="19"/>
      <c r="N68" s="746"/>
      <c r="O68" s="2">
        <f t="shared" si="14"/>
        <v>960</v>
      </c>
    </row>
    <row r="69" spans="1:15" ht="25" customHeight="1" thickBot="1" x14ac:dyDescent="0.25">
      <c r="A69" s="54" t="s">
        <v>35</v>
      </c>
      <c r="B69" s="174"/>
      <c r="C69" s="77"/>
      <c r="D69" s="174"/>
      <c r="E69" s="77"/>
      <c r="F69" s="77"/>
      <c r="G69" s="232"/>
      <c r="H69" s="254"/>
      <c r="I69" s="77"/>
      <c r="J69" s="264"/>
      <c r="K69" s="265"/>
      <c r="L69" s="77"/>
      <c r="M69" s="19"/>
      <c r="N69" s="746"/>
      <c r="O69" s="2">
        <f t="shared" si="14"/>
        <v>0</v>
      </c>
    </row>
    <row r="70" spans="1:15" ht="25" customHeight="1" thickBot="1" x14ac:dyDescent="0.25">
      <c r="A70" s="54" t="s">
        <v>82</v>
      </c>
      <c r="B70" s="175"/>
      <c r="C70" s="87"/>
      <c r="D70" s="175"/>
      <c r="E70" s="87"/>
      <c r="F70" s="87"/>
      <c r="G70" s="232"/>
      <c r="H70" s="255">
        <v>125</v>
      </c>
      <c r="I70" s="87"/>
      <c r="J70" s="266"/>
      <c r="K70" s="267"/>
      <c r="L70" s="87"/>
      <c r="M70" s="88"/>
      <c r="N70" s="747"/>
      <c r="O70" s="172"/>
    </row>
    <row r="71" spans="1:15" ht="25" customHeight="1" thickBot="1" x14ac:dyDescent="0.3">
      <c r="A71" s="54" t="s">
        <v>36</v>
      </c>
      <c r="B71" s="174"/>
      <c r="C71" s="77"/>
      <c r="D71" s="174"/>
      <c r="E71" s="90"/>
      <c r="F71" s="90"/>
      <c r="G71" s="233"/>
      <c r="H71" s="256">
        <v>250</v>
      </c>
      <c r="I71" s="90"/>
      <c r="J71" s="264"/>
      <c r="K71" s="268"/>
      <c r="L71" s="90"/>
      <c r="M71" s="20"/>
      <c r="N71" s="746"/>
      <c r="O71" s="2">
        <f t="shared" si="14"/>
        <v>250</v>
      </c>
    </row>
    <row r="72" spans="1:15" s="216" customFormat="1" ht="25" customHeight="1" thickBot="1" x14ac:dyDescent="0.3">
      <c r="A72" s="63" t="s">
        <v>99</v>
      </c>
      <c r="B72" s="176"/>
      <c r="C72" s="78"/>
      <c r="D72" s="176"/>
      <c r="E72" s="91"/>
      <c r="F72" s="91"/>
      <c r="G72" s="234"/>
      <c r="H72" s="257"/>
      <c r="I72" s="91"/>
      <c r="J72" s="269"/>
      <c r="K72" s="270"/>
      <c r="L72" s="91"/>
      <c r="M72" s="173"/>
      <c r="N72" s="747"/>
      <c r="O72" s="215"/>
    </row>
    <row r="73" spans="1:15" s="223" customFormat="1" ht="25" customHeight="1" thickBot="1" x14ac:dyDescent="0.3">
      <c r="A73" s="222" t="s">
        <v>105</v>
      </c>
      <c r="B73" s="181"/>
      <c r="C73" s="71"/>
      <c r="D73" s="181"/>
      <c r="E73" s="73"/>
      <c r="F73" s="73"/>
      <c r="G73" s="235"/>
      <c r="H73" s="249"/>
      <c r="I73" s="73"/>
      <c r="J73" s="271"/>
      <c r="K73" s="272"/>
      <c r="L73" s="71"/>
      <c r="M73" s="225"/>
      <c r="N73" s="747"/>
      <c r="O73" s="172"/>
    </row>
    <row r="74" spans="1:15" s="216" customFormat="1" ht="25" customHeight="1" thickBot="1" x14ac:dyDescent="0.3">
      <c r="A74" s="217" t="s">
        <v>107</v>
      </c>
      <c r="B74" s="218"/>
      <c r="C74" s="219"/>
      <c r="D74" s="218"/>
      <c r="E74" s="219"/>
      <c r="F74" s="219"/>
      <c r="G74" s="236"/>
      <c r="H74" s="258">
        <v>475</v>
      </c>
      <c r="I74" s="219"/>
      <c r="J74" s="273"/>
      <c r="K74" s="274"/>
      <c r="L74" s="219"/>
      <c r="M74" s="220"/>
      <c r="N74" s="746"/>
      <c r="O74" s="221">
        <f t="shared" si="14"/>
        <v>475</v>
      </c>
    </row>
    <row r="75" spans="1:15" ht="25" customHeight="1" thickBot="1" x14ac:dyDescent="0.3">
      <c r="A75" s="54" t="s">
        <v>37</v>
      </c>
      <c r="B75" s="177"/>
      <c r="C75" s="192">
        <f t="shared" ref="C75:M75" si="15">SUM(C68:C74)</f>
        <v>0</v>
      </c>
      <c r="D75" s="177">
        <f t="shared" si="15"/>
        <v>0</v>
      </c>
      <c r="E75" s="192"/>
      <c r="F75" s="226">
        <f t="shared" si="15"/>
        <v>0</v>
      </c>
      <c r="G75" s="237"/>
      <c r="H75" s="259">
        <f t="shared" si="15"/>
        <v>1120</v>
      </c>
      <c r="I75" s="192">
        <f t="shared" si="15"/>
        <v>0</v>
      </c>
      <c r="J75" s="275">
        <f t="shared" si="15"/>
        <v>0</v>
      </c>
      <c r="K75" s="276">
        <f t="shared" si="15"/>
        <v>0</v>
      </c>
      <c r="L75" s="192"/>
      <c r="M75" s="21">
        <f t="shared" si="15"/>
        <v>0</v>
      </c>
      <c r="N75" s="746"/>
      <c r="O75" s="2">
        <f t="shared" si="14"/>
        <v>1120</v>
      </c>
    </row>
    <row r="76" spans="1:15" ht="25" customHeight="1" thickBot="1" x14ac:dyDescent="0.3">
      <c r="A76" s="55" t="s">
        <v>20</v>
      </c>
      <c r="B76" s="178"/>
      <c r="C76" s="193"/>
      <c r="D76" s="178"/>
      <c r="E76" s="193"/>
      <c r="F76" s="193" t="s">
        <v>117</v>
      </c>
      <c r="G76" s="238"/>
      <c r="H76" s="260"/>
      <c r="I76" s="263"/>
      <c r="J76" s="277"/>
      <c r="K76" s="278"/>
      <c r="L76" s="263"/>
      <c r="M76" s="29">
        <f t="shared" ref="M76" si="16">(M75-M67-M63)</f>
        <v>0</v>
      </c>
      <c r="N76" s="747"/>
      <c r="O76" s="8">
        <f t="shared" si="14"/>
        <v>0</v>
      </c>
    </row>
    <row r="77" spans="1:15" ht="25" customHeight="1" thickTop="1" x14ac:dyDescent="0.25">
      <c r="E77" s="33"/>
      <c r="F77" s="33"/>
      <c r="G77" s="167"/>
      <c r="H77" s="33"/>
      <c r="I77" s="33"/>
      <c r="J77" s="33"/>
      <c r="K77" s="206"/>
      <c r="L77" s="724" t="s">
        <v>63</v>
      </c>
      <c r="M77" s="725"/>
      <c r="N77" s="726"/>
      <c r="O77" s="748">
        <f>SUM(O3:O76)</f>
        <v>4401</v>
      </c>
    </row>
    <row r="78" spans="1:15" ht="25" customHeight="1" thickBot="1" x14ac:dyDescent="0.3">
      <c r="E78" s="34"/>
      <c r="F78" s="34"/>
      <c r="G78" s="168"/>
      <c r="H78" s="34"/>
      <c r="I78" s="34"/>
      <c r="J78" s="34"/>
      <c r="K78" s="207"/>
      <c r="L78" s="727"/>
      <c r="M78" s="728"/>
      <c r="N78" s="729"/>
      <c r="O78" s="749"/>
    </row>
    <row r="79" spans="1:15" ht="35" customHeight="1" thickBot="1" x14ac:dyDescent="0.25">
      <c r="E79" s="37"/>
      <c r="F79" s="37"/>
      <c r="G79" s="169"/>
      <c r="H79" s="37"/>
      <c r="I79" s="37"/>
      <c r="J79" s="37"/>
      <c r="K79" s="208"/>
      <c r="L79" s="721" t="s">
        <v>64</v>
      </c>
      <c r="M79" s="722"/>
      <c r="N79" s="723"/>
      <c r="O79" s="30">
        <f>SUM(B64:M64)</f>
        <v>2</v>
      </c>
    </row>
    <row r="80" spans="1:15" ht="31" customHeight="1" thickBot="1" x14ac:dyDescent="0.3">
      <c r="E80" s="39"/>
      <c r="F80" s="39"/>
      <c r="G80" s="170"/>
      <c r="H80" s="39"/>
      <c r="I80" s="39"/>
      <c r="J80" s="39"/>
      <c r="K80" s="209"/>
      <c r="L80" s="718" t="s">
        <v>42</v>
      </c>
      <c r="M80" s="719"/>
      <c r="N80" s="720"/>
      <c r="O80" s="9">
        <f>SUM(B76:M76)</f>
        <v>0</v>
      </c>
    </row>
    <row r="81" ht="25" customHeight="1" thickTop="1" x14ac:dyDescent="0.2"/>
  </sheetData>
  <mergeCells count="8">
    <mergeCell ref="L79:N79"/>
    <mergeCell ref="L80:N80"/>
    <mergeCell ref="N1:N64"/>
    <mergeCell ref="A2:M2"/>
    <mergeCell ref="A65:O66"/>
    <mergeCell ref="N67:N76"/>
    <mergeCell ref="L77:N78"/>
    <mergeCell ref="O77:O78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68B5-CEAF-1F4D-A3BA-374AF9E00D2F}">
  <sheetPr>
    <tabColor rgb="FF002060"/>
  </sheetPr>
  <dimension ref="A1:O81"/>
  <sheetViews>
    <sheetView zoomScale="125" zoomScaleNormal="125" workbookViewId="0">
      <selection activeCell="M73" sqref="M73"/>
    </sheetView>
  </sheetViews>
  <sheetFormatPr baseColWidth="10" defaultColWidth="11.28515625" defaultRowHeight="25" customHeight="1" x14ac:dyDescent="0.2"/>
  <cols>
    <col min="1" max="1" width="25.28515625" style="56" customWidth="1"/>
    <col min="2" max="2" width="18.7109375" style="10" hidden="1" customWidth="1"/>
    <col min="3" max="3" width="16" style="10" hidden="1" customWidth="1"/>
    <col min="4" max="4" width="15.42578125" style="10" hidden="1" customWidth="1"/>
    <col min="5" max="6" width="16.140625" style="10" hidden="1" customWidth="1"/>
    <col min="7" max="7" width="20" style="22" hidden="1" customWidth="1"/>
    <col min="8" max="8" width="4.85546875" style="10" customWidth="1"/>
    <col min="9" max="10" width="16.140625" style="10" customWidth="1"/>
    <col min="11" max="11" width="17.42578125" style="22" customWidth="1"/>
    <col min="12" max="13" width="16.140625" style="10" customWidth="1"/>
    <col min="14" max="14" width="9.7109375" style="10" customWidth="1"/>
    <col min="15" max="15" width="26" style="10" customWidth="1"/>
    <col min="16" max="26" width="10.5703125" style="10" customWidth="1"/>
    <col min="27" max="16384" width="11.28515625" style="10"/>
  </cols>
  <sheetData>
    <row r="1" spans="1:15" ht="34" customHeight="1" thickTop="1" thickBot="1" x14ac:dyDescent="0.25">
      <c r="A1" s="42">
        <v>2025</v>
      </c>
      <c r="B1" s="69" t="s">
        <v>6</v>
      </c>
      <c r="C1" s="317" t="s">
        <v>7</v>
      </c>
      <c r="D1" s="335" t="s">
        <v>8</v>
      </c>
      <c r="E1" s="342" t="s">
        <v>9</v>
      </c>
      <c r="F1" s="344" t="s">
        <v>10</v>
      </c>
      <c r="G1" s="347" t="s">
        <v>2</v>
      </c>
      <c r="H1" s="344" t="s">
        <v>60</v>
      </c>
      <c r="I1" s="107" t="s">
        <v>3</v>
      </c>
      <c r="J1" s="107" t="s">
        <v>61</v>
      </c>
      <c r="K1" s="107" t="s">
        <v>4</v>
      </c>
      <c r="L1" s="107" t="s">
        <v>62</v>
      </c>
      <c r="M1" s="3" t="s">
        <v>5</v>
      </c>
      <c r="N1" s="730"/>
      <c r="O1" s="1" t="s">
        <v>0</v>
      </c>
    </row>
    <row r="2" spans="1:15" ht="25" customHeight="1" thickBot="1" x14ac:dyDescent="0.25">
      <c r="A2" s="734"/>
      <c r="B2" s="735"/>
      <c r="C2" s="735"/>
      <c r="D2" s="735"/>
      <c r="E2" s="735"/>
      <c r="F2" s="736"/>
      <c r="G2" s="736"/>
      <c r="H2" s="736"/>
      <c r="I2" s="736"/>
      <c r="J2" s="736"/>
      <c r="K2" s="736"/>
      <c r="L2" s="736"/>
      <c r="M2" s="737"/>
      <c r="N2" s="731"/>
      <c r="O2" s="11"/>
    </row>
    <row r="3" spans="1:15" ht="25" customHeight="1" thickBot="1" x14ac:dyDescent="0.25">
      <c r="A3" s="43" t="s">
        <v>11</v>
      </c>
      <c r="B3" s="311"/>
      <c r="C3" s="318"/>
      <c r="D3" s="318"/>
      <c r="E3" s="318"/>
      <c r="F3" s="318"/>
      <c r="G3" s="366"/>
      <c r="H3" s="318"/>
      <c r="I3" s="311"/>
      <c r="J3" s="311"/>
      <c r="K3" s="101"/>
      <c r="L3" s="311"/>
      <c r="M3" s="164"/>
      <c r="N3" s="731"/>
      <c r="O3" s="13">
        <f t="shared" ref="O3:O13" si="0">SUM(B3:M3)</f>
        <v>0</v>
      </c>
    </row>
    <row r="4" spans="1:15" ht="25" customHeight="1" thickBot="1" x14ac:dyDescent="0.25">
      <c r="A4" s="43" t="s">
        <v>12</v>
      </c>
      <c r="B4" s="311"/>
      <c r="C4" s="318"/>
      <c r="D4" s="318"/>
      <c r="E4" s="318"/>
      <c r="F4" s="318"/>
      <c r="G4" s="359"/>
      <c r="H4" s="318"/>
      <c r="I4" s="311"/>
      <c r="J4" s="311"/>
      <c r="K4" s="101"/>
      <c r="L4" s="311"/>
      <c r="M4" s="164"/>
      <c r="N4" s="731"/>
      <c r="O4" s="13">
        <f t="shared" si="0"/>
        <v>0</v>
      </c>
    </row>
    <row r="5" spans="1:15" ht="25" customHeight="1" thickBot="1" x14ac:dyDescent="0.25">
      <c r="A5" s="43" t="s">
        <v>13</v>
      </c>
      <c r="B5" s="311"/>
      <c r="C5" s="318"/>
      <c r="D5" s="318"/>
      <c r="E5" s="318"/>
      <c r="F5" s="318"/>
      <c r="G5" s="366"/>
      <c r="H5" s="318"/>
      <c r="I5" s="311"/>
      <c r="J5" s="311"/>
      <c r="K5" s="101"/>
      <c r="L5" s="311"/>
      <c r="M5" s="164"/>
      <c r="N5" s="731"/>
      <c r="O5" s="13">
        <f t="shared" si="0"/>
        <v>0</v>
      </c>
    </row>
    <row r="6" spans="1:15" ht="25" customHeight="1" thickBot="1" x14ac:dyDescent="0.25">
      <c r="A6" s="44" t="s">
        <v>0</v>
      </c>
      <c r="B6" s="308">
        <f t="shared" ref="B6:M6" si="1">SUM(B3:B5)</f>
        <v>0</v>
      </c>
      <c r="C6" s="319">
        <f t="shared" si="1"/>
        <v>0</v>
      </c>
      <c r="D6" s="332">
        <f t="shared" si="1"/>
        <v>0</v>
      </c>
      <c r="E6" s="319">
        <f t="shared" si="1"/>
        <v>0</v>
      </c>
      <c r="F6" s="319">
        <f t="shared" si="1"/>
        <v>0</v>
      </c>
      <c r="G6" s="358">
        <f t="shared" si="1"/>
        <v>0</v>
      </c>
      <c r="H6" s="319">
        <f t="shared" si="1"/>
        <v>0</v>
      </c>
      <c r="I6" s="308">
        <f t="shared" si="1"/>
        <v>0</v>
      </c>
      <c r="J6" s="308">
        <f t="shared" si="1"/>
        <v>0</v>
      </c>
      <c r="K6" s="95"/>
      <c r="L6" s="308">
        <f t="shared" si="1"/>
        <v>0</v>
      </c>
      <c r="M6" s="157">
        <f t="shared" si="1"/>
        <v>0</v>
      </c>
      <c r="N6" s="731"/>
      <c r="O6" s="13">
        <f t="shared" si="0"/>
        <v>0</v>
      </c>
    </row>
    <row r="7" spans="1:15" ht="25" customHeight="1" thickBot="1" x14ac:dyDescent="0.25">
      <c r="A7" s="45" t="s">
        <v>14</v>
      </c>
      <c r="B7" s="310"/>
      <c r="C7" s="320"/>
      <c r="D7" s="320"/>
      <c r="E7" s="320"/>
      <c r="F7" s="320"/>
      <c r="G7" s="357"/>
      <c r="H7" s="320"/>
      <c r="I7" s="310"/>
      <c r="J7" s="310">
        <v>55</v>
      </c>
      <c r="K7" s="102"/>
      <c r="L7" s="310"/>
      <c r="M7" s="155"/>
      <c r="N7" s="731"/>
      <c r="O7" s="13">
        <f t="shared" si="0"/>
        <v>55</v>
      </c>
    </row>
    <row r="8" spans="1:15" ht="25" customHeight="1" thickBot="1" x14ac:dyDescent="0.25">
      <c r="A8" s="45" t="s">
        <v>133</v>
      </c>
      <c r="B8" s="310"/>
      <c r="C8" s="320"/>
      <c r="D8" s="320"/>
      <c r="E8" s="320"/>
      <c r="F8" s="320"/>
      <c r="G8" s="357"/>
      <c r="H8" s="320"/>
      <c r="I8" s="310"/>
      <c r="J8" s="310"/>
      <c r="K8" s="102"/>
      <c r="L8" s="310"/>
      <c r="M8" s="155"/>
      <c r="N8" s="731"/>
      <c r="O8" s="13">
        <f t="shared" si="0"/>
        <v>0</v>
      </c>
    </row>
    <row r="9" spans="1:15" ht="25" customHeight="1" thickBot="1" x14ac:dyDescent="0.25">
      <c r="A9" s="45" t="s">
        <v>17</v>
      </c>
      <c r="B9" s="310"/>
      <c r="C9" s="320"/>
      <c r="D9" s="320"/>
      <c r="E9" s="320"/>
      <c r="F9" s="320"/>
      <c r="G9" s="357"/>
      <c r="H9" s="320"/>
      <c r="I9" s="310"/>
      <c r="J9" s="310">
        <v>65</v>
      </c>
      <c r="K9" s="102"/>
      <c r="L9" s="310"/>
      <c r="M9" s="155"/>
      <c r="N9" s="731"/>
      <c r="O9" s="13">
        <f t="shared" si="0"/>
        <v>65</v>
      </c>
    </row>
    <row r="10" spans="1:15" ht="25" customHeight="1" thickBot="1" x14ac:dyDescent="0.25">
      <c r="A10" s="45" t="s">
        <v>120</v>
      </c>
      <c r="B10" s="310"/>
      <c r="C10" s="320"/>
      <c r="D10" s="320"/>
      <c r="E10" s="320"/>
      <c r="F10" s="320"/>
      <c r="G10" s="357"/>
      <c r="H10" s="320"/>
      <c r="I10" s="310"/>
      <c r="J10" s="310"/>
      <c r="K10" s="102"/>
      <c r="L10" s="310"/>
      <c r="M10" s="155"/>
      <c r="N10" s="732"/>
      <c r="O10" s="13">
        <f t="shared" si="0"/>
        <v>0</v>
      </c>
    </row>
    <row r="11" spans="1:15" ht="25" customHeight="1" thickBot="1" x14ac:dyDescent="0.25">
      <c r="A11" s="45" t="s">
        <v>129</v>
      </c>
      <c r="B11" s="310"/>
      <c r="C11" s="320"/>
      <c r="D11" s="320"/>
      <c r="E11" s="320"/>
      <c r="F11" s="320"/>
      <c r="G11" s="357"/>
      <c r="H11" s="320"/>
      <c r="I11" s="310"/>
      <c r="J11" s="310"/>
      <c r="K11" s="102"/>
      <c r="L11" s="310"/>
      <c r="M11" s="155"/>
      <c r="N11" s="732"/>
      <c r="O11" s="13">
        <f t="shared" si="0"/>
        <v>0</v>
      </c>
    </row>
    <row r="12" spans="1:15" ht="25" customHeight="1" thickBot="1" x14ac:dyDescent="0.25">
      <c r="A12" s="45" t="s">
        <v>130</v>
      </c>
      <c r="B12" s="310"/>
      <c r="C12" s="320"/>
      <c r="D12" s="320"/>
      <c r="E12" s="320"/>
      <c r="F12" s="320"/>
      <c r="G12" s="357"/>
      <c r="H12" s="320"/>
      <c r="I12" s="310"/>
      <c r="J12" s="310"/>
      <c r="K12" s="102"/>
      <c r="L12" s="310"/>
      <c r="M12" s="155"/>
      <c r="N12" s="732"/>
      <c r="O12" s="13">
        <f t="shared" si="0"/>
        <v>0</v>
      </c>
    </row>
    <row r="13" spans="1:15" ht="25" customHeight="1" thickBot="1" x14ac:dyDescent="0.25">
      <c r="A13" s="45" t="s">
        <v>39</v>
      </c>
      <c r="B13" s="310"/>
      <c r="C13" s="320"/>
      <c r="D13" s="320"/>
      <c r="E13" s="320"/>
      <c r="F13" s="320"/>
      <c r="G13" s="358"/>
      <c r="H13" s="320"/>
      <c r="I13" s="310"/>
      <c r="J13" s="310">
        <v>15</v>
      </c>
      <c r="K13" s="102"/>
      <c r="L13" s="310"/>
      <c r="M13" s="155"/>
      <c r="N13" s="732"/>
      <c r="O13" s="13">
        <f t="shared" si="0"/>
        <v>15</v>
      </c>
    </row>
    <row r="14" spans="1:15" ht="25" customHeight="1" thickBot="1" x14ac:dyDescent="0.25">
      <c r="A14" s="110"/>
      <c r="B14" s="310">
        <f>SUM(B7:B13)</f>
        <v>0</v>
      </c>
      <c r="C14" s="320">
        <f t="shared" ref="C14:M14" si="2">SUM(C7:C13)</f>
        <v>0</v>
      </c>
      <c r="D14" s="320">
        <f t="shared" si="2"/>
        <v>0</v>
      </c>
      <c r="E14" s="320">
        <f t="shared" si="2"/>
        <v>0</v>
      </c>
      <c r="F14" s="320">
        <f t="shared" si="2"/>
        <v>0</v>
      </c>
      <c r="G14" s="358">
        <f t="shared" si="2"/>
        <v>0</v>
      </c>
      <c r="H14" s="320">
        <f t="shared" si="2"/>
        <v>0</v>
      </c>
      <c r="I14" s="310">
        <f t="shared" si="2"/>
        <v>0</v>
      </c>
      <c r="J14" s="310">
        <f t="shared" si="2"/>
        <v>135</v>
      </c>
      <c r="K14" s="102"/>
      <c r="L14" s="310">
        <f t="shared" si="2"/>
        <v>0</v>
      </c>
      <c r="M14" s="165">
        <f t="shared" si="2"/>
        <v>0</v>
      </c>
      <c r="N14" s="732"/>
      <c r="O14" s="13"/>
    </row>
    <row r="15" spans="1:15" ht="25" customHeight="1" thickBot="1" x14ac:dyDescent="0.25">
      <c r="A15" s="45" t="s">
        <v>45</v>
      </c>
      <c r="B15" s="310"/>
      <c r="C15" s="320"/>
      <c r="D15" s="320"/>
      <c r="E15" s="320"/>
      <c r="F15" s="320"/>
      <c r="G15" s="357"/>
      <c r="H15" s="320"/>
      <c r="I15" s="310"/>
      <c r="J15" s="310">
        <v>50</v>
      </c>
      <c r="K15" s="102"/>
      <c r="L15" s="310"/>
      <c r="M15" s="155">
        <v>10</v>
      </c>
      <c r="N15" s="732"/>
      <c r="O15" s="13">
        <f>SUM(B15:M15)</f>
        <v>60</v>
      </c>
    </row>
    <row r="16" spans="1:15" ht="25" customHeight="1" thickBot="1" x14ac:dyDescent="0.25">
      <c r="A16" s="45" t="s">
        <v>18</v>
      </c>
      <c r="B16" s="310"/>
      <c r="C16" s="320"/>
      <c r="D16" s="320"/>
      <c r="E16" s="320"/>
      <c r="F16" s="320"/>
      <c r="G16" s="357"/>
      <c r="H16" s="320"/>
      <c r="I16" s="310">
        <v>120</v>
      </c>
      <c r="J16" s="310">
        <v>120</v>
      </c>
      <c r="K16" s="102"/>
      <c r="L16" s="310">
        <v>50</v>
      </c>
      <c r="M16" s="155">
        <v>100</v>
      </c>
      <c r="N16" s="731"/>
      <c r="O16" s="13">
        <f>SUM(B16:M16)</f>
        <v>390</v>
      </c>
    </row>
    <row r="17" spans="1:15" ht="25" customHeight="1" thickBot="1" x14ac:dyDescent="0.25">
      <c r="A17" s="45" t="s">
        <v>1</v>
      </c>
      <c r="B17" s="310"/>
      <c r="C17" s="320"/>
      <c r="D17" s="320"/>
      <c r="E17" s="320"/>
      <c r="F17" s="320"/>
      <c r="G17" s="357"/>
      <c r="H17" s="320"/>
      <c r="I17" s="310">
        <v>150</v>
      </c>
      <c r="J17" s="310">
        <v>150</v>
      </c>
      <c r="K17" s="102"/>
      <c r="L17" s="310">
        <v>70</v>
      </c>
      <c r="M17" s="155">
        <v>60</v>
      </c>
      <c r="N17" s="731"/>
      <c r="O17" s="13">
        <f>SUM(B17:M17)</f>
        <v>430</v>
      </c>
    </row>
    <row r="18" spans="1:15" ht="25" customHeight="1" thickBot="1" x14ac:dyDescent="0.25">
      <c r="A18" s="45" t="s">
        <v>54</v>
      </c>
      <c r="B18" s="310"/>
      <c r="C18" s="320"/>
      <c r="D18" s="320"/>
      <c r="E18" s="320"/>
      <c r="F18" s="320"/>
      <c r="G18" s="357"/>
      <c r="H18" s="320"/>
      <c r="I18" s="310"/>
      <c r="J18" s="310"/>
      <c r="K18" s="102"/>
      <c r="L18" s="310"/>
      <c r="M18" s="155"/>
      <c r="N18" s="732"/>
      <c r="O18" s="13"/>
    </row>
    <row r="19" spans="1:15" ht="25" customHeight="1" thickBot="1" x14ac:dyDescent="0.25">
      <c r="A19" s="45" t="s">
        <v>38</v>
      </c>
      <c r="B19" s="310"/>
      <c r="C19" s="320"/>
      <c r="D19" s="320"/>
      <c r="E19" s="320"/>
      <c r="F19" s="320"/>
      <c r="G19" s="357"/>
      <c r="H19" s="320"/>
      <c r="I19" s="310">
        <v>100</v>
      </c>
      <c r="J19" s="310">
        <v>100</v>
      </c>
      <c r="K19" s="102"/>
      <c r="L19" s="310">
        <v>50</v>
      </c>
      <c r="M19" s="155">
        <v>70</v>
      </c>
      <c r="N19" s="732"/>
      <c r="O19" s="13">
        <f>SUM(B19:M19)</f>
        <v>320</v>
      </c>
    </row>
    <row r="20" spans="1:15" ht="25" customHeight="1" thickBot="1" x14ac:dyDescent="0.25">
      <c r="A20" s="45" t="s">
        <v>51</v>
      </c>
      <c r="B20" s="310"/>
      <c r="C20" s="320"/>
      <c r="D20" s="320"/>
      <c r="E20" s="320"/>
      <c r="F20" s="320"/>
      <c r="G20" s="357"/>
      <c r="H20" s="320"/>
      <c r="I20" s="310">
        <v>100</v>
      </c>
      <c r="J20" s="310">
        <v>400</v>
      </c>
      <c r="K20" s="102"/>
      <c r="L20" s="310"/>
      <c r="M20" s="155">
        <v>300</v>
      </c>
      <c r="N20" s="732"/>
      <c r="O20" s="13">
        <f>SUM(B20:M20)</f>
        <v>800</v>
      </c>
    </row>
    <row r="21" spans="1:15" ht="25" customHeight="1" thickBot="1" x14ac:dyDescent="0.25">
      <c r="A21" s="45" t="s">
        <v>53</v>
      </c>
      <c r="B21" s="310"/>
      <c r="C21" s="320"/>
      <c r="D21" s="320"/>
      <c r="E21" s="320"/>
      <c r="F21" s="320"/>
      <c r="G21" s="358"/>
      <c r="H21" s="320"/>
      <c r="I21" s="310"/>
      <c r="J21" s="310"/>
      <c r="K21" s="102"/>
      <c r="L21" s="310"/>
      <c r="M21" s="155"/>
      <c r="N21" s="732"/>
      <c r="O21" s="13">
        <f>SUM(B21:M21)</f>
        <v>0</v>
      </c>
    </row>
    <row r="22" spans="1:15" ht="25" customHeight="1" thickBot="1" x14ac:dyDescent="0.25">
      <c r="A22" s="46"/>
      <c r="B22" s="310">
        <f>SUM(B15:B21)</f>
        <v>0</v>
      </c>
      <c r="C22" s="320">
        <f t="shared" ref="C22:M22" si="3">SUM(C15:C21)</f>
        <v>0</v>
      </c>
      <c r="D22" s="320">
        <f t="shared" si="3"/>
        <v>0</v>
      </c>
      <c r="E22" s="320">
        <f t="shared" si="3"/>
        <v>0</v>
      </c>
      <c r="F22" s="320">
        <f t="shared" si="3"/>
        <v>0</v>
      </c>
      <c r="G22" s="358">
        <f t="shared" si="3"/>
        <v>0</v>
      </c>
      <c r="H22" s="320">
        <f t="shared" si="3"/>
        <v>0</v>
      </c>
      <c r="I22" s="310">
        <f t="shared" si="3"/>
        <v>470</v>
      </c>
      <c r="J22" s="310">
        <f t="shared" si="3"/>
        <v>820</v>
      </c>
      <c r="K22" s="102"/>
      <c r="L22" s="310">
        <f t="shared" si="3"/>
        <v>170</v>
      </c>
      <c r="M22" s="156">
        <f t="shared" si="3"/>
        <v>540</v>
      </c>
      <c r="N22" s="732"/>
      <c r="O22" s="13"/>
    </row>
    <row r="23" spans="1:15" ht="25" customHeight="1" thickBot="1" x14ac:dyDescent="0.25">
      <c r="A23" s="45" t="s">
        <v>27</v>
      </c>
      <c r="B23" s="310"/>
      <c r="C23" s="320"/>
      <c r="D23" s="320"/>
      <c r="E23" s="320"/>
      <c r="F23" s="320"/>
      <c r="G23" s="357"/>
      <c r="H23" s="320"/>
      <c r="I23" s="310">
        <v>40</v>
      </c>
      <c r="J23" s="310">
        <v>40</v>
      </c>
      <c r="K23" s="102"/>
      <c r="L23" s="310"/>
      <c r="M23" s="155"/>
      <c r="N23" s="732"/>
      <c r="O23" s="13">
        <f>SUM(B23:M23)</f>
        <v>80</v>
      </c>
    </row>
    <row r="24" spans="1:15" ht="25" customHeight="1" thickBot="1" x14ac:dyDescent="0.25">
      <c r="A24" s="45" t="s">
        <v>43</v>
      </c>
      <c r="B24" s="310"/>
      <c r="C24" s="320"/>
      <c r="D24" s="320"/>
      <c r="E24" s="320"/>
      <c r="F24" s="320"/>
      <c r="G24" s="357"/>
      <c r="H24" s="320"/>
      <c r="I24" s="310"/>
      <c r="J24" s="310">
        <v>10</v>
      </c>
      <c r="K24" s="102"/>
      <c r="L24" s="310"/>
      <c r="M24" s="155"/>
      <c r="N24" s="732"/>
      <c r="O24" s="13"/>
    </row>
    <row r="25" spans="1:15" ht="25" customHeight="1" thickBot="1" x14ac:dyDescent="0.25">
      <c r="A25" s="45" t="s">
        <v>119</v>
      </c>
      <c r="B25" s="310"/>
      <c r="C25" s="320"/>
      <c r="D25" s="320"/>
      <c r="E25" s="320"/>
      <c r="F25" s="320"/>
      <c r="G25" s="357"/>
      <c r="H25" s="320"/>
      <c r="I25" s="310"/>
      <c r="J25" s="310">
        <v>50</v>
      </c>
      <c r="K25" s="102"/>
      <c r="L25" s="310"/>
      <c r="M25" s="155"/>
      <c r="N25" s="732"/>
      <c r="O25" s="13"/>
    </row>
    <row r="26" spans="1:15" ht="25" customHeight="1" thickBot="1" x14ac:dyDescent="0.25">
      <c r="A26" s="45" t="s">
        <v>85</v>
      </c>
      <c r="B26" s="310"/>
      <c r="C26" s="320"/>
      <c r="D26" s="320"/>
      <c r="E26" s="320"/>
      <c r="F26" s="320"/>
      <c r="G26" s="357"/>
      <c r="H26" s="320"/>
      <c r="I26" s="310"/>
      <c r="J26" s="310">
        <v>20</v>
      </c>
      <c r="K26" s="102"/>
      <c r="L26" s="310"/>
      <c r="M26" s="155"/>
      <c r="N26" s="732"/>
      <c r="O26" s="13"/>
    </row>
    <row r="27" spans="1:15" ht="25" customHeight="1" thickBot="1" x14ac:dyDescent="0.25">
      <c r="A27" s="45" t="s">
        <v>116</v>
      </c>
      <c r="B27" s="310"/>
      <c r="C27" s="320"/>
      <c r="D27" s="320"/>
      <c r="E27" s="320"/>
      <c r="F27" s="320"/>
      <c r="G27" s="357"/>
      <c r="H27" s="320"/>
      <c r="I27" s="310"/>
      <c r="J27" s="310">
        <v>14</v>
      </c>
      <c r="K27" s="102"/>
      <c r="L27" s="310"/>
      <c r="M27" s="155">
        <v>14</v>
      </c>
      <c r="N27" s="732"/>
      <c r="O27" s="13"/>
    </row>
    <row r="28" spans="1:15" ht="25" customHeight="1" thickBot="1" x14ac:dyDescent="0.25">
      <c r="A28" s="45" t="s">
        <v>81</v>
      </c>
      <c r="B28" s="310"/>
      <c r="C28" s="320"/>
      <c r="D28" s="320"/>
      <c r="E28" s="320"/>
      <c r="F28" s="320"/>
      <c r="G28" s="357"/>
      <c r="H28" s="320"/>
      <c r="I28" s="310"/>
      <c r="J28" s="310"/>
      <c r="K28" s="102"/>
      <c r="L28" s="310"/>
      <c r="M28" s="155">
        <v>5</v>
      </c>
      <c r="N28" s="732"/>
      <c r="O28" s="13"/>
    </row>
    <row r="29" spans="1:15" ht="25" customHeight="1" thickBot="1" x14ac:dyDescent="0.25">
      <c r="A29" s="45" t="s">
        <v>65</v>
      </c>
      <c r="B29" s="310"/>
      <c r="C29" s="320"/>
      <c r="D29" s="320"/>
      <c r="E29" s="320"/>
      <c r="F29" s="320"/>
      <c r="G29" s="357"/>
      <c r="H29" s="320"/>
      <c r="I29" s="310"/>
      <c r="J29" s="310"/>
      <c r="K29" s="102"/>
      <c r="L29" s="310"/>
      <c r="M29" s="155"/>
      <c r="N29" s="732"/>
      <c r="O29" s="13"/>
    </row>
    <row r="30" spans="1:15" ht="25" customHeight="1" thickBot="1" x14ac:dyDescent="0.25">
      <c r="A30" s="45" t="s">
        <v>66</v>
      </c>
      <c r="B30" s="310"/>
      <c r="C30" s="320"/>
      <c r="D30" s="320"/>
      <c r="E30" s="320"/>
      <c r="F30" s="320"/>
      <c r="G30" s="357"/>
      <c r="H30" s="320"/>
      <c r="I30" s="310">
        <v>8</v>
      </c>
      <c r="J30" s="310">
        <v>10</v>
      </c>
      <c r="K30" s="102"/>
      <c r="L30" s="310">
        <v>6</v>
      </c>
      <c r="M30" s="155">
        <v>6</v>
      </c>
      <c r="N30" s="732"/>
      <c r="O30" s="13"/>
    </row>
    <row r="31" spans="1:15" ht="25" customHeight="1" thickBot="1" x14ac:dyDescent="0.25">
      <c r="A31" s="45" t="s">
        <v>67</v>
      </c>
      <c r="B31" s="310"/>
      <c r="C31" s="320"/>
      <c r="D31" s="320"/>
      <c r="E31" s="320"/>
      <c r="F31" s="320"/>
      <c r="G31" s="357"/>
      <c r="H31" s="320"/>
      <c r="I31" s="310"/>
      <c r="J31" s="310">
        <v>12</v>
      </c>
      <c r="K31" s="102"/>
      <c r="L31" s="310"/>
      <c r="M31" s="155"/>
      <c r="N31" s="732"/>
      <c r="O31" s="13"/>
    </row>
    <row r="32" spans="1:15" ht="25" customHeight="1" thickBot="1" x14ac:dyDescent="0.25">
      <c r="A32" s="45" t="s">
        <v>124</v>
      </c>
      <c r="B32" s="310"/>
      <c r="C32" s="320"/>
      <c r="D32" s="320"/>
      <c r="E32" s="320"/>
      <c r="F32" s="320"/>
      <c r="G32" s="357"/>
      <c r="H32" s="320"/>
      <c r="I32" s="310">
        <v>10</v>
      </c>
      <c r="J32" s="310">
        <v>10</v>
      </c>
      <c r="K32" s="102"/>
      <c r="L32" s="310" t="s">
        <v>97</v>
      </c>
      <c r="M32" s="155">
        <v>10</v>
      </c>
      <c r="N32" s="732"/>
      <c r="O32" s="13"/>
    </row>
    <row r="33" spans="1:15" ht="25" customHeight="1" thickBot="1" x14ac:dyDescent="0.25">
      <c r="A33" s="45" t="s">
        <v>123</v>
      </c>
      <c r="B33" s="310"/>
      <c r="C33" s="320"/>
      <c r="D33" s="320"/>
      <c r="E33" s="320"/>
      <c r="F33" s="320"/>
      <c r="G33" s="357"/>
      <c r="H33" s="320"/>
      <c r="I33" s="310">
        <v>15</v>
      </c>
      <c r="J33" s="310">
        <v>15</v>
      </c>
      <c r="K33" s="102"/>
      <c r="L33" s="310"/>
      <c r="M33" s="155"/>
      <c r="N33" s="732"/>
      <c r="O33" s="13"/>
    </row>
    <row r="34" spans="1:15" ht="25" customHeight="1" thickBot="1" x14ac:dyDescent="0.25">
      <c r="A34" s="45" t="s">
        <v>122</v>
      </c>
      <c r="B34" s="310"/>
      <c r="C34" s="320"/>
      <c r="D34" s="320"/>
      <c r="E34" s="320"/>
      <c r="F34" s="320"/>
      <c r="G34" s="357"/>
      <c r="H34" s="320"/>
      <c r="I34" s="310">
        <v>5</v>
      </c>
      <c r="J34" s="310">
        <v>5</v>
      </c>
      <c r="K34" s="102"/>
      <c r="L34" s="310"/>
      <c r="M34" s="155"/>
      <c r="N34" s="732"/>
      <c r="O34" s="13"/>
    </row>
    <row r="35" spans="1:15" ht="25" customHeight="1" thickBot="1" x14ac:dyDescent="0.25">
      <c r="A35" s="45" t="s">
        <v>118</v>
      </c>
      <c r="B35" s="310"/>
      <c r="C35" s="320"/>
      <c r="D35" s="320"/>
      <c r="E35" s="320"/>
      <c r="F35" s="320"/>
      <c r="G35" s="357"/>
      <c r="H35" s="320"/>
      <c r="I35" s="310"/>
      <c r="J35" s="310"/>
      <c r="K35" s="102"/>
      <c r="L35" s="310"/>
      <c r="M35" s="155"/>
      <c r="N35" s="732"/>
      <c r="O35" s="13"/>
    </row>
    <row r="36" spans="1:15" ht="25" customHeight="1" thickBot="1" x14ac:dyDescent="0.25">
      <c r="A36" s="45" t="s">
        <v>114</v>
      </c>
      <c r="B36" s="310"/>
      <c r="C36" s="320"/>
      <c r="D36" s="320"/>
      <c r="E36" s="320"/>
      <c r="F36" s="320"/>
      <c r="G36" s="357"/>
      <c r="H36" s="320"/>
      <c r="I36" s="310">
        <v>15</v>
      </c>
      <c r="J36" s="310">
        <v>15</v>
      </c>
      <c r="K36" s="102"/>
      <c r="L36" s="310"/>
      <c r="M36" s="155"/>
      <c r="N36" s="731"/>
      <c r="O36" s="13">
        <f t="shared" ref="O36:O43" si="4">SUM(B36:M36)</f>
        <v>30</v>
      </c>
    </row>
    <row r="37" spans="1:15" ht="25" customHeight="1" thickBot="1" x14ac:dyDescent="0.25">
      <c r="A37" s="45" t="s">
        <v>115</v>
      </c>
      <c r="B37" s="310"/>
      <c r="C37" s="320"/>
      <c r="D37" s="320"/>
      <c r="E37" s="320"/>
      <c r="F37" s="320"/>
      <c r="G37" s="357"/>
      <c r="H37" s="320"/>
      <c r="I37" s="310">
        <v>55</v>
      </c>
      <c r="J37" s="310">
        <v>55</v>
      </c>
      <c r="K37" s="102"/>
      <c r="L37" s="310">
        <v>55</v>
      </c>
      <c r="M37" s="155">
        <v>55</v>
      </c>
      <c r="N37" s="731"/>
      <c r="O37" s="13">
        <f t="shared" si="4"/>
        <v>220</v>
      </c>
    </row>
    <row r="38" spans="1:15" ht="25" customHeight="1" thickBot="1" x14ac:dyDescent="0.25">
      <c r="A38" s="44" t="s">
        <v>0</v>
      </c>
      <c r="B38" s="308">
        <f t="shared" ref="B38:M38" si="5">SUM(B23:B37)</f>
        <v>0</v>
      </c>
      <c r="C38" s="319">
        <f t="shared" si="5"/>
        <v>0</v>
      </c>
      <c r="D38" s="319">
        <f t="shared" si="5"/>
        <v>0</v>
      </c>
      <c r="E38" s="319">
        <f t="shared" si="5"/>
        <v>0</v>
      </c>
      <c r="F38" s="319">
        <f t="shared" si="5"/>
        <v>0</v>
      </c>
      <c r="G38" s="358">
        <f t="shared" si="5"/>
        <v>0</v>
      </c>
      <c r="H38" s="319">
        <f t="shared" si="5"/>
        <v>0</v>
      </c>
      <c r="I38" s="308">
        <f t="shared" si="5"/>
        <v>148</v>
      </c>
      <c r="J38" s="308">
        <f t="shared" si="5"/>
        <v>256</v>
      </c>
      <c r="K38" s="95">
        <f t="shared" si="5"/>
        <v>0</v>
      </c>
      <c r="L38" s="308">
        <f t="shared" si="5"/>
        <v>61</v>
      </c>
      <c r="M38" s="157">
        <f t="shared" si="5"/>
        <v>90</v>
      </c>
      <c r="N38" s="731"/>
      <c r="O38" s="13">
        <f t="shared" si="4"/>
        <v>555</v>
      </c>
    </row>
    <row r="39" spans="1:15" ht="25" customHeight="1" thickBot="1" x14ac:dyDescent="0.25">
      <c r="A39" s="47" t="s">
        <v>21</v>
      </c>
      <c r="B39" s="196"/>
      <c r="C39" s="321"/>
      <c r="D39" s="321"/>
      <c r="E39" s="321"/>
      <c r="F39" s="321"/>
      <c r="G39" s="359"/>
      <c r="H39" s="321"/>
      <c r="I39" s="196"/>
      <c r="J39" s="196"/>
      <c r="K39" s="103"/>
      <c r="L39" s="196"/>
      <c r="M39" s="154"/>
      <c r="N39" s="731"/>
      <c r="O39" s="13">
        <f t="shared" si="4"/>
        <v>0</v>
      </c>
    </row>
    <row r="40" spans="1:15" ht="25" customHeight="1" thickBot="1" x14ac:dyDescent="0.25">
      <c r="A40" s="47" t="s">
        <v>56</v>
      </c>
      <c r="B40" s="196"/>
      <c r="C40" s="321"/>
      <c r="D40" s="321"/>
      <c r="E40" s="321"/>
      <c r="F40" s="321"/>
      <c r="G40" s="360"/>
      <c r="H40" s="321"/>
      <c r="I40" s="196"/>
      <c r="J40" s="196">
        <v>120</v>
      </c>
      <c r="K40" s="103"/>
      <c r="L40" s="196"/>
      <c r="M40" s="154"/>
      <c r="N40" s="731"/>
      <c r="O40" s="13">
        <f t="shared" si="4"/>
        <v>120</v>
      </c>
    </row>
    <row r="41" spans="1:15" ht="25" customHeight="1" thickBot="1" x14ac:dyDescent="0.25">
      <c r="A41" s="47" t="s">
        <v>22</v>
      </c>
      <c r="B41" s="196"/>
      <c r="C41" s="321"/>
      <c r="D41" s="321"/>
      <c r="E41" s="321"/>
      <c r="F41" s="321"/>
      <c r="G41" s="359"/>
      <c r="H41" s="321"/>
      <c r="I41" s="196"/>
      <c r="J41" s="196"/>
      <c r="K41" s="103"/>
      <c r="L41" s="196"/>
      <c r="M41" s="154"/>
      <c r="N41" s="731"/>
      <c r="O41" s="13">
        <f t="shared" si="4"/>
        <v>0</v>
      </c>
    </row>
    <row r="42" spans="1:15" ht="25" customHeight="1" thickBot="1" x14ac:dyDescent="0.25">
      <c r="A42" s="47" t="s">
        <v>23</v>
      </c>
      <c r="B42" s="312"/>
      <c r="C42" s="322"/>
      <c r="D42" s="322"/>
      <c r="E42" s="322"/>
      <c r="F42" s="322"/>
      <c r="G42" s="361"/>
      <c r="H42" s="322"/>
      <c r="I42" s="312"/>
      <c r="J42" s="312"/>
      <c r="K42" s="375"/>
      <c r="L42" s="312"/>
      <c r="M42" s="158"/>
      <c r="N42" s="731"/>
      <c r="O42" s="13">
        <f t="shared" si="4"/>
        <v>0</v>
      </c>
    </row>
    <row r="43" spans="1:15" ht="25" customHeight="1" thickBot="1" x14ac:dyDescent="0.25">
      <c r="A43" s="47" t="s">
        <v>55</v>
      </c>
      <c r="B43" s="196"/>
      <c r="C43" s="321"/>
      <c r="D43" s="321"/>
      <c r="E43" s="321"/>
      <c r="F43" s="321"/>
      <c r="G43" s="360"/>
      <c r="H43" s="321"/>
      <c r="I43" s="196"/>
      <c r="J43" s="196"/>
      <c r="K43" s="103"/>
      <c r="L43" s="196"/>
      <c r="M43" s="154"/>
      <c r="N43" s="732"/>
      <c r="O43" s="13">
        <f t="shared" si="4"/>
        <v>0</v>
      </c>
    </row>
    <row r="44" spans="1:15" ht="25" customHeight="1" thickBot="1" x14ac:dyDescent="0.25">
      <c r="A44" s="47" t="s">
        <v>58</v>
      </c>
      <c r="B44" s="196"/>
      <c r="C44" s="321"/>
      <c r="D44" s="321"/>
      <c r="E44" s="321"/>
      <c r="F44" s="321"/>
      <c r="G44" s="359"/>
      <c r="H44" s="321"/>
      <c r="I44" s="196"/>
      <c r="J44" s="196"/>
      <c r="K44" s="103"/>
      <c r="L44" s="196"/>
      <c r="M44" s="154"/>
      <c r="N44" s="732"/>
      <c r="O44" s="13"/>
    </row>
    <row r="45" spans="1:15" ht="25" customHeight="1" thickBot="1" x14ac:dyDescent="0.25">
      <c r="A45" s="47" t="s">
        <v>77</v>
      </c>
      <c r="B45" s="196"/>
      <c r="C45" s="321"/>
      <c r="D45" s="321"/>
      <c r="E45" s="321"/>
      <c r="F45" s="321"/>
      <c r="G45" s="359"/>
      <c r="H45" s="321"/>
      <c r="I45" s="196"/>
      <c r="J45" s="196"/>
      <c r="K45" s="103"/>
      <c r="L45" s="196"/>
      <c r="M45" s="154"/>
      <c r="N45" s="731"/>
      <c r="O45" s="13">
        <f>SUM(B45:M45)</f>
        <v>0</v>
      </c>
    </row>
    <row r="46" spans="1:15" ht="25" customHeight="1" thickBot="1" x14ac:dyDescent="0.25">
      <c r="A46" s="44" t="s">
        <v>0</v>
      </c>
      <c r="B46" s="313">
        <f t="shared" ref="B46:M46" si="6">SUM(B39:B45)</f>
        <v>0</v>
      </c>
      <c r="C46" s="323">
        <f t="shared" si="6"/>
        <v>0</v>
      </c>
      <c r="D46" s="333">
        <f t="shared" si="6"/>
        <v>0</v>
      </c>
      <c r="E46" s="323">
        <f t="shared" si="6"/>
        <v>0</v>
      </c>
      <c r="F46" s="323">
        <f t="shared" si="6"/>
        <v>0</v>
      </c>
      <c r="G46" s="359">
        <f t="shared" si="6"/>
        <v>0</v>
      </c>
      <c r="H46" s="323">
        <f t="shared" si="6"/>
        <v>0</v>
      </c>
      <c r="I46" s="313">
        <f t="shared" si="6"/>
        <v>0</v>
      </c>
      <c r="J46" s="313">
        <f t="shared" si="6"/>
        <v>120</v>
      </c>
      <c r="K46" s="153">
        <f t="shared" si="6"/>
        <v>0</v>
      </c>
      <c r="L46" s="313">
        <f t="shared" si="6"/>
        <v>0</v>
      </c>
      <c r="M46" s="159">
        <f t="shared" si="6"/>
        <v>0</v>
      </c>
      <c r="N46" s="731"/>
      <c r="O46" s="13">
        <f>SUM(B46:M46)</f>
        <v>120</v>
      </c>
    </row>
    <row r="47" spans="1:15" ht="25" customHeight="1" thickBot="1" x14ac:dyDescent="0.25">
      <c r="A47" s="346" t="s">
        <v>125</v>
      </c>
      <c r="B47" s="313"/>
      <c r="C47" s="323"/>
      <c r="D47" s="333"/>
      <c r="E47" s="323"/>
      <c r="F47" s="323"/>
      <c r="G47" s="359"/>
      <c r="H47" s="323"/>
      <c r="I47" s="313">
        <v>175</v>
      </c>
      <c r="J47" s="313">
        <v>175</v>
      </c>
      <c r="K47" s="153"/>
      <c r="L47" s="313"/>
      <c r="M47" s="345">
        <v>175</v>
      </c>
      <c r="N47" s="732"/>
      <c r="O47" s="13">
        <f t="shared" ref="O47:O48" si="7">SUM(B47:M47)</f>
        <v>525</v>
      </c>
    </row>
    <row r="48" spans="1:15" ht="25" customHeight="1" thickBot="1" x14ac:dyDescent="0.25">
      <c r="A48" s="346" t="s">
        <v>121</v>
      </c>
      <c r="B48" s="313"/>
      <c r="C48" s="323"/>
      <c r="D48" s="333"/>
      <c r="E48" s="323"/>
      <c r="F48" s="323"/>
      <c r="G48" s="359"/>
      <c r="H48" s="323"/>
      <c r="I48" s="313"/>
      <c r="J48" s="313"/>
      <c r="K48" s="153"/>
      <c r="L48" s="313"/>
      <c r="M48" s="345"/>
      <c r="N48" s="732"/>
      <c r="O48" s="13">
        <f t="shared" si="7"/>
        <v>0</v>
      </c>
    </row>
    <row r="49" spans="1:15" ht="25" customHeight="1" thickBot="1" x14ac:dyDescent="0.25">
      <c r="A49" s="48" t="s">
        <v>112</v>
      </c>
      <c r="B49" s="314"/>
      <c r="C49" s="324"/>
      <c r="D49" s="324"/>
      <c r="E49" s="324"/>
      <c r="F49" s="324"/>
      <c r="G49" s="362"/>
      <c r="H49" s="324"/>
      <c r="I49" s="314"/>
      <c r="J49" s="314"/>
      <c r="K49" s="376"/>
      <c r="L49" s="314"/>
      <c r="M49" s="160"/>
      <c r="N49" s="731"/>
      <c r="O49" s="13">
        <f>SUM(B49:M49)</f>
        <v>0</v>
      </c>
    </row>
    <row r="50" spans="1:15" ht="25" customHeight="1" thickBot="1" x14ac:dyDescent="0.25">
      <c r="A50" s="44" t="s">
        <v>0</v>
      </c>
      <c r="B50" s="308">
        <f t="shared" ref="B50:F50" si="8">SUM(B49:B49)</f>
        <v>0</v>
      </c>
      <c r="C50" s="319">
        <f t="shared" si="8"/>
        <v>0</v>
      </c>
      <c r="D50" s="319">
        <f t="shared" si="8"/>
        <v>0</v>
      </c>
      <c r="E50" s="319">
        <f t="shared" si="8"/>
        <v>0</v>
      </c>
      <c r="F50" s="319">
        <f t="shared" si="8"/>
        <v>0</v>
      </c>
      <c r="G50" s="358">
        <f>SUM(G47:G49)</f>
        <v>0</v>
      </c>
      <c r="H50" s="356">
        <f t="shared" ref="H50:J50" si="9">SUM(H47:H49)</f>
        <v>0</v>
      </c>
      <c r="I50" s="369">
        <f t="shared" si="9"/>
        <v>175</v>
      </c>
      <c r="J50" s="369">
        <f t="shared" si="9"/>
        <v>175</v>
      </c>
      <c r="K50" s="95">
        <f>SUM(K47:K49)</f>
        <v>0</v>
      </c>
      <c r="L50" s="308">
        <f>SUM(L47:L49)</f>
        <v>0</v>
      </c>
      <c r="M50" s="157">
        <f>SUM(M47:M49)</f>
        <v>175</v>
      </c>
      <c r="N50" s="731"/>
      <c r="O50" s="13">
        <f>SUM(B50:M50)</f>
        <v>525</v>
      </c>
    </row>
    <row r="51" spans="1:15" ht="25" customHeight="1" thickBot="1" x14ac:dyDescent="0.25">
      <c r="A51" s="45" t="s">
        <v>52</v>
      </c>
      <c r="B51" s="310"/>
      <c r="C51" s="320"/>
      <c r="D51" s="320"/>
      <c r="E51" s="320"/>
      <c r="F51" s="320"/>
      <c r="G51" s="357"/>
      <c r="H51" s="320"/>
      <c r="I51" s="310"/>
      <c r="J51" s="310"/>
      <c r="K51" s="102"/>
      <c r="L51" s="310"/>
      <c r="M51" s="155"/>
      <c r="N51" s="732"/>
      <c r="O51" s="13"/>
    </row>
    <row r="52" spans="1:15" ht="25" customHeight="1" thickBot="1" x14ac:dyDescent="0.25">
      <c r="A52" s="45" t="s">
        <v>44</v>
      </c>
      <c r="B52" s="310"/>
      <c r="C52" s="320"/>
      <c r="D52" s="320"/>
      <c r="E52" s="320"/>
      <c r="F52" s="320"/>
      <c r="G52" s="358"/>
      <c r="H52" s="320"/>
      <c r="I52" s="310"/>
      <c r="J52" s="310"/>
      <c r="K52" s="102">
        <v>100</v>
      </c>
      <c r="L52" s="310"/>
      <c r="M52" s="155"/>
      <c r="N52" s="732"/>
      <c r="O52" s="13">
        <f t="shared" ref="O52:O66" si="10">SUM(B52:M52)</f>
        <v>100</v>
      </c>
    </row>
    <row r="53" spans="1:15" ht="25" customHeight="1" thickBot="1" x14ac:dyDescent="0.25">
      <c r="A53" s="45" t="s">
        <v>28</v>
      </c>
      <c r="B53" s="310"/>
      <c r="C53" s="320"/>
      <c r="D53" s="320"/>
      <c r="E53" s="320"/>
      <c r="F53" s="320"/>
      <c r="G53" s="358"/>
      <c r="H53" s="320"/>
      <c r="I53" s="310"/>
      <c r="J53" s="310"/>
      <c r="K53" s="102"/>
      <c r="L53" s="310"/>
      <c r="M53" s="155"/>
      <c r="N53" s="732"/>
      <c r="O53" s="13">
        <f t="shared" si="10"/>
        <v>0</v>
      </c>
    </row>
    <row r="54" spans="1:15" ht="25" customHeight="1" thickBot="1" x14ac:dyDescent="0.25">
      <c r="A54" s="45" t="s">
        <v>82</v>
      </c>
      <c r="B54" s="310"/>
      <c r="C54" s="320"/>
      <c r="D54" s="320"/>
      <c r="E54" s="320"/>
      <c r="F54" s="320"/>
      <c r="G54" s="358"/>
      <c r="H54" s="320"/>
      <c r="I54" s="310"/>
      <c r="J54" s="310"/>
      <c r="K54" s="102"/>
      <c r="L54" s="310"/>
      <c r="M54" s="155"/>
      <c r="N54" s="732"/>
      <c r="O54" s="13"/>
    </row>
    <row r="55" spans="1:15" ht="25" customHeight="1" thickBot="1" x14ac:dyDescent="0.25">
      <c r="A55" s="45" t="s">
        <v>113</v>
      </c>
      <c r="B55" s="310"/>
      <c r="C55" s="320"/>
      <c r="D55" s="320"/>
      <c r="E55" s="320"/>
      <c r="F55" s="320"/>
      <c r="G55" s="358"/>
      <c r="H55" s="320"/>
      <c r="I55" s="310"/>
      <c r="J55" s="310"/>
      <c r="K55" s="102"/>
      <c r="L55" s="310"/>
      <c r="M55" s="155"/>
      <c r="N55" s="732"/>
      <c r="O55" s="13"/>
    </row>
    <row r="56" spans="1:15" ht="25" customHeight="1" thickBot="1" x14ac:dyDescent="0.25">
      <c r="A56" s="45" t="s">
        <v>128</v>
      </c>
      <c r="B56" s="310"/>
      <c r="C56" s="320"/>
      <c r="D56" s="320"/>
      <c r="E56" s="320"/>
      <c r="F56" s="320"/>
      <c r="G56" s="358"/>
      <c r="H56" s="320"/>
      <c r="I56" s="310"/>
      <c r="J56" s="310"/>
      <c r="K56" s="102"/>
      <c r="L56" s="310"/>
      <c r="M56" s="155"/>
      <c r="N56" s="732"/>
      <c r="O56" s="13"/>
    </row>
    <row r="57" spans="1:15" ht="25" customHeight="1" thickBot="1" x14ac:dyDescent="0.25">
      <c r="A57" s="45" t="s">
        <v>29</v>
      </c>
      <c r="B57" s="310"/>
      <c r="C57" s="320"/>
      <c r="D57" s="320"/>
      <c r="E57" s="320"/>
      <c r="F57" s="320"/>
      <c r="G57" s="358"/>
      <c r="H57" s="320"/>
      <c r="I57" s="310"/>
      <c r="J57" s="310"/>
      <c r="K57" s="102"/>
      <c r="L57" s="310"/>
      <c r="M57" s="155"/>
      <c r="N57" s="732"/>
      <c r="O57" s="13">
        <f t="shared" si="10"/>
        <v>0</v>
      </c>
    </row>
    <row r="58" spans="1:15" ht="25" customHeight="1" thickBot="1" x14ac:dyDescent="0.25">
      <c r="A58" s="45" t="s">
        <v>32</v>
      </c>
      <c r="B58" s="310"/>
      <c r="C58" s="320"/>
      <c r="D58" s="337"/>
      <c r="E58" s="320"/>
      <c r="F58" s="320"/>
      <c r="G58" s="358"/>
      <c r="H58" s="320"/>
      <c r="I58" s="310"/>
      <c r="J58" s="310"/>
      <c r="K58" s="102"/>
      <c r="L58" s="310"/>
      <c r="M58" s="155"/>
      <c r="N58" s="732"/>
      <c r="O58" s="13">
        <f t="shared" si="10"/>
        <v>0</v>
      </c>
    </row>
    <row r="59" spans="1:15" ht="25" customHeight="1" thickBot="1" x14ac:dyDescent="0.25">
      <c r="A59" s="50" t="s">
        <v>0</v>
      </c>
      <c r="B59" s="315">
        <f t="shared" ref="B59:M59" si="11">SUM(B51:B58)</f>
        <v>0</v>
      </c>
      <c r="C59" s="336">
        <f t="shared" si="11"/>
        <v>0</v>
      </c>
      <c r="D59" s="339">
        <f t="shared" si="11"/>
        <v>0</v>
      </c>
      <c r="E59" s="334">
        <f t="shared" si="11"/>
        <v>0</v>
      </c>
      <c r="F59" s="343">
        <f t="shared" si="11"/>
        <v>0</v>
      </c>
      <c r="G59" s="363">
        <f t="shared" si="11"/>
        <v>0</v>
      </c>
      <c r="H59" s="343">
        <f t="shared" si="11"/>
        <v>0</v>
      </c>
      <c r="I59" s="315">
        <f t="shared" si="11"/>
        <v>0</v>
      </c>
      <c r="J59" s="315">
        <f t="shared" si="11"/>
        <v>0</v>
      </c>
      <c r="K59" s="104"/>
      <c r="L59" s="315">
        <f t="shared" si="11"/>
        <v>0</v>
      </c>
      <c r="M59" s="161">
        <f t="shared" si="11"/>
        <v>0</v>
      </c>
      <c r="N59" s="731"/>
      <c r="O59" s="13">
        <f t="shared" si="10"/>
        <v>0</v>
      </c>
    </row>
    <row r="60" spans="1:15" ht="25" customHeight="1" thickBot="1" x14ac:dyDescent="0.25">
      <c r="A60" s="51"/>
      <c r="B60" s="316"/>
      <c r="C60" s="325"/>
      <c r="D60" s="338"/>
      <c r="E60" s="325"/>
      <c r="F60" s="162"/>
      <c r="G60" s="364"/>
      <c r="H60" s="162"/>
      <c r="I60" s="162"/>
      <c r="J60" s="162"/>
      <c r="K60" s="105"/>
      <c r="L60" s="316"/>
      <c r="M60" s="162"/>
      <c r="N60" s="731"/>
      <c r="O60" s="13">
        <f t="shared" si="10"/>
        <v>0</v>
      </c>
    </row>
    <row r="61" spans="1:15" ht="43" customHeight="1" thickBot="1" x14ac:dyDescent="0.25">
      <c r="A61" s="47" t="s">
        <v>108</v>
      </c>
      <c r="B61" s="196"/>
      <c r="C61" s="321"/>
      <c r="D61" s="321"/>
      <c r="E61" s="321"/>
      <c r="F61" s="321"/>
      <c r="G61" s="359"/>
      <c r="H61" s="321"/>
      <c r="I61" s="196"/>
      <c r="J61" s="196" t="s">
        <v>97</v>
      </c>
      <c r="K61" s="103"/>
      <c r="L61" s="196"/>
      <c r="M61" s="163"/>
      <c r="N61" s="731"/>
      <c r="O61" s="13">
        <f t="shared" si="10"/>
        <v>0</v>
      </c>
    </row>
    <row r="62" spans="1:15" ht="34" customHeight="1" thickBot="1" x14ac:dyDescent="0.25">
      <c r="A62" s="52" t="s">
        <v>40</v>
      </c>
      <c r="B62" s="196"/>
      <c r="C62" s="321"/>
      <c r="D62" s="321"/>
      <c r="E62" s="321"/>
      <c r="F62" s="321"/>
      <c r="G62" s="360"/>
      <c r="H62" s="321"/>
      <c r="I62" s="196"/>
      <c r="J62" s="196"/>
      <c r="K62" s="103"/>
      <c r="L62" s="196"/>
      <c r="M62" s="163"/>
      <c r="N62" s="731"/>
      <c r="O62" s="13">
        <f t="shared" si="10"/>
        <v>0</v>
      </c>
    </row>
    <row r="63" spans="1:15" ht="41" customHeight="1" thickBot="1" x14ac:dyDescent="0.25">
      <c r="A63" s="47" t="s">
        <v>34</v>
      </c>
      <c r="B63" s="196"/>
      <c r="C63" s="321"/>
      <c r="D63" s="321"/>
      <c r="E63" s="321"/>
      <c r="F63" s="321"/>
      <c r="G63" s="360"/>
      <c r="H63" s="355"/>
      <c r="I63" s="370"/>
      <c r="J63" s="370"/>
      <c r="K63" s="103"/>
      <c r="L63" s="196"/>
      <c r="M63" s="154"/>
      <c r="N63" s="732"/>
      <c r="O63" s="13">
        <f t="shared" si="10"/>
        <v>0</v>
      </c>
    </row>
    <row r="64" spans="1:15" ht="41" customHeight="1" thickBot="1" x14ac:dyDescent="0.25">
      <c r="A64" s="47" t="s">
        <v>79</v>
      </c>
      <c r="B64" s="196"/>
      <c r="C64" s="321"/>
      <c r="D64" s="321"/>
      <c r="E64" s="321"/>
      <c r="F64" s="321"/>
      <c r="G64" s="360">
        <v>12600</v>
      </c>
      <c r="H64" s="321"/>
      <c r="I64" s="196"/>
      <c r="J64" s="196"/>
      <c r="K64" s="103"/>
      <c r="L64" s="196"/>
      <c r="M64" s="154"/>
      <c r="N64" s="732"/>
      <c r="O64" s="13"/>
    </row>
    <row r="65" spans="1:15" ht="45" customHeight="1" thickBot="1" x14ac:dyDescent="0.25">
      <c r="A65" s="47" t="s">
        <v>73</v>
      </c>
      <c r="B65" s="196"/>
      <c r="C65" s="321"/>
      <c r="D65" s="321"/>
      <c r="E65" s="321"/>
      <c r="F65" s="321"/>
      <c r="G65" s="360" t="s">
        <v>126</v>
      </c>
      <c r="H65" s="321"/>
      <c r="I65" s="196"/>
      <c r="J65" s="196"/>
      <c r="K65" s="103"/>
      <c r="L65" s="196"/>
      <c r="M65" s="154"/>
      <c r="N65" s="731"/>
      <c r="O65" s="13">
        <f t="shared" si="10"/>
        <v>0</v>
      </c>
    </row>
    <row r="66" spans="1:15" ht="25" customHeight="1" thickBot="1" x14ac:dyDescent="0.25">
      <c r="A66" s="53" t="s">
        <v>0</v>
      </c>
      <c r="B66" s="76">
        <f>SUM(B60:B64)</f>
        <v>0</v>
      </c>
      <c r="C66" s="329">
        <f t="shared" ref="C66:F66" si="12">SUM(C60:C64)</f>
        <v>0</v>
      </c>
      <c r="D66" s="329">
        <f t="shared" si="12"/>
        <v>0</v>
      </c>
      <c r="E66" s="329">
        <f t="shared" si="12"/>
        <v>0</v>
      </c>
      <c r="F66" s="329">
        <f t="shared" si="12"/>
        <v>0</v>
      </c>
      <c r="G66" s="365">
        <f t="shared" ref="G66" si="13">SUM(G60:G65)</f>
        <v>12600</v>
      </c>
      <c r="H66" s="329">
        <f>SUM(H60:H64)</f>
        <v>0</v>
      </c>
      <c r="I66" s="76">
        <f t="shared" ref="I66:M66" si="14">SUM(I60:I64)</f>
        <v>0</v>
      </c>
      <c r="J66" s="76">
        <f t="shared" si="14"/>
        <v>0</v>
      </c>
      <c r="K66" s="106">
        <f t="shared" si="14"/>
        <v>0</v>
      </c>
      <c r="L66" s="76">
        <f t="shared" si="14"/>
        <v>0</v>
      </c>
      <c r="M66" s="7">
        <f t="shared" si="14"/>
        <v>0</v>
      </c>
      <c r="N66" s="733"/>
      <c r="O66" s="13">
        <f t="shared" si="10"/>
        <v>12600</v>
      </c>
    </row>
    <row r="67" spans="1:15" ht="25" customHeight="1" thickTop="1" x14ac:dyDescent="0.2">
      <c r="A67" s="738"/>
      <c r="B67" s="739"/>
      <c r="C67" s="739"/>
      <c r="D67" s="739"/>
      <c r="E67" s="739"/>
      <c r="F67" s="740"/>
      <c r="G67" s="740"/>
      <c r="H67" s="740"/>
      <c r="I67" s="740"/>
      <c r="J67" s="740"/>
      <c r="K67" s="740"/>
      <c r="L67" s="740"/>
      <c r="M67" s="739"/>
      <c r="N67" s="739"/>
      <c r="O67" s="741"/>
    </row>
    <row r="68" spans="1:15" ht="25" customHeight="1" thickBot="1" x14ac:dyDescent="0.25">
      <c r="A68" s="742"/>
      <c r="B68" s="743"/>
      <c r="C68" s="743"/>
      <c r="D68" s="743"/>
      <c r="E68" s="743"/>
      <c r="F68" s="743"/>
      <c r="G68" s="743"/>
      <c r="H68" s="743"/>
      <c r="I68" s="743"/>
      <c r="J68" s="743"/>
      <c r="K68" s="743"/>
      <c r="L68" s="743"/>
      <c r="M68" s="743"/>
      <c r="N68" s="743"/>
      <c r="O68" s="744"/>
    </row>
    <row r="69" spans="1:15" ht="25" customHeight="1" thickBot="1" x14ac:dyDescent="0.25">
      <c r="A69" s="54" t="s">
        <v>0</v>
      </c>
      <c r="B69" s="306"/>
      <c r="C69" s="326">
        <f>SUM(C6+C14+C22+C38+C46+C50+C59+C66)</f>
        <v>0</v>
      </c>
      <c r="D69" s="326">
        <f>SUM(D6+D14+D22+D38+D46+D50+D59+D66)</f>
        <v>0</v>
      </c>
      <c r="E69" s="326">
        <f>SUM(E6+E14+E22+E38+E46+E50+E59+E66)</f>
        <v>0</v>
      </c>
      <c r="F69" s="326"/>
      <c r="G69" s="348">
        <f>SUM(G6+G14+G22+G38+G46+G50+G59+G66)</f>
        <v>12600</v>
      </c>
      <c r="H69" s="326"/>
      <c r="I69" s="306"/>
      <c r="J69" s="306"/>
      <c r="K69" s="94">
        <f>SUM(K6+K14+K22+K38+K46+K50+K59+K66)</f>
        <v>0</v>
      </c>
      <c r="L69" s="77"/>
      <c r="M69" s="19">
        <f>SUM(M6+M14+M22+M38+M46+M50+M59+M66)</f>
        <v>805</v>
      </c>
      <c r="N69" s="745"/>
      <c r="O69" s="2">
        <f t="shared" ref="O69:O76" si="15">SUM(B69:M69)</f>
        <v>13405</v>
      </c>
    </row>
    <row r="70" spans="1:15" ht="25" customHeight="1" thickBot="1" x14ac:dyDescent="0.25">
      <c r="A70" s="54" t="s">
        <v>41</v>
      </c>
      <c r="B70" s="306"/>
      <c r="C70" s="326"/>
      <c r="D70" s="326"/>
      <c r="E70" s="326"/>
      <c r="F70" s="326"/>
      <c r="G70" s="348"/>
      <c r="H70" s="326"/>
      <c r="I70" s="306"/>
      <c r="J70" s="306"/>
      <c r="K70" s="94"/>
      <c r="L70" s="77"/>
      <c r="M70" s="19">
        <v>400</v>
      </c>
      <c r="N70" s="746"/>
      <c r="O70" s="2">
        <f t="shared" si="15"/>
        <v>400</v>
      </c>
    </row>
    <row r="71" spans="1:15" ht="25" customHeight="1" thickBot="1" x14ac:dyDescent="0.25">
      <c r="A71" s="54" t="s">
        <v>82</v>
      </c>
      <c r="B71" s="330"/>
      <c r="C71" s="331"/>
      <c r="D71" s="331"/>
      <c r="E71" s="331"/>
      <c r="F71" s="331"/>
      <c r="G71" s="349"/>
      <c r="H71" s="331"/>
      <c r="I71" s="330"/>
      <c r="J71" s="330"/>
      <c r="K71" s="96"/>
      <c r="L71" s="87"/>
      <c r="M71" s="88"/>
      <c r="N71" s="747"/>
      <c r="O71" s="172"/>
    </row>
    <row r="72" spans="1:15" ht="25" customHeight="1" thickBot="1" x14ac:dyDescent="0.25">
      <c r="A72" s="54" t="s">
        <v>35</v>
      </c>
      <c r="B72" s="306"/>
      <c r="C72" s="326"/>
      <c r="D72" s="326"/>
      <c r="E72" s="326"/>
      <c r="F72" s="326"/>
      <c r="G72" s="350"/>
      <c r="H72" s="326"/>
      <c r="I72" s="306"/>
      <c r="J72" s="306"/>
      <c r="K72" s="94"/>
      <c r="L72" s="77"/>
      <c r="M72" s="19">
        <v>150</v>
      </c>
      <c r="N72" s="746"/>
      <c r="O72" s="2">
        <f t="shared" si="15"/>
        <v>150</v>
      </c>
    </row>
    <row r="73" spans="1:15" s="216" customFormat="1" ht="25" customHeight="1" thickBot="1" x14ac:dyDescent="0.25">
      <c r="A73" s="63" t="s">
        <v>36</v>
      </c>
      <c r="B73" s="307"/>
      <c r="C73" s="327"/>
      <c r="D73" s="327"/>
      <c r="E73" s="340"/>
      <c r="F73" s="340"/>
      <c r="G73" s="351"/>
      <c r="H73" s="340"/>
      <c r="I73" s="371"/>
      <c r="J73" s="371"/>
      <c r="K73" s="151"/>
      <c r="L73" s="91"/>
      <c r="M73" s="65">
        <v>240</v>
      </c>
      <c r="N73" s="746"/>
      <c r="O73" s="215">
        <f t="shared" si="15"/>
        <v>240</v>
      </c>
    </row>
    <row r="74" spans="1:15" s="223" customFormat="1" ht="25" customHeight="1" thickBot="1" x14ac:dyDescent="0.25">
      <c r="A74" s="222" t="s">
        <v>134</v>
      </c>
      <c r="B74" s="308"/>
      <c r="C74" s="319"/>
      <c r="D74" s="319"/>
      <c r="E74" s="319"/>
      <c r="F74" s="319"/>
      <c r="G74" s="352"/>
      <c r="H74" s="319"/>
      <c r="I74" s="308"/>
      <c r="J74" s="308"/>
      <c r="K74" s="95"/>
      <c r="L74" s="71"/>
      <c r="M74" s="4">
        <v>100</v>
      </c>
      <c r="N74" s="746"/>
      <c r="O74" s="172">
        <f t="shared" si="15"/>
        <v>100</v>
      </c>
    </row>
    <row r="75" spans="1:15" s="216" customFormat="1" ht="25" customHeight="1" thickBot="1" x14ac:dyDescent="0.25">
      <c r="A75" s="54" t="s">
        <v>37</v>
      </c>
      <c r="B75" s="307">
        <f>SUM(B70:B74)</f>
        <v>0</v>
      </c>
      <c r="C75" s="327">
        <f>SUM(C70:C74)</f>
        <v>0</v>
      </c>
      <c r="D75" s="327">
        <f>SUM(D70:D74)</f>
        <v>0</v>
      </c>
      <c r="E75" s="327">
        <f>SUM(E70:E74)</f>
        <v>0</v>
      </c>
      <c r="F75" s="327"/>
      <c r="G75" s="353"/>
      <c r="H75" s="327">
        <f t="shared" ref="H75:M75" si="16">SUM(H70:H74)</f>
        <v>0</v>
      </c>
      <c r="I75" s="307">
        <f t="shared" si="16"/>
        <v>0</v>
      </c>
      <c r="J75" s="307">
        <f t="shared" si="16"/>
        <v>0</v>
      </c>
      <c r="K75" s="373">
        <f t="shared" si="16"/>
        <v>0</v>
      </c>
      <c r="L75" s="377">
        <f t="shared" si="16"/>
        <v>0</v>
      </c>
      <c r="M75" s="224">
        <f t="shared" si="16"/>
        <v>890</v>
      </c>
      <c r="N75" s="740"/>
      <c r="O75" s="221">
        <f t="shared" si="15"/>
        <v>890</v>
      </c>
    </row>
    <row r="76" spans="1:15" ht="25" customHeight="1" thickBot="1" x14ac:dyDescent="0.25">
      <c r="A76" s="55" t="s">
        <v>50</v>
      </c>
      <c r="B76" s="309">
        <f>(B75-B69)</f>
        <v>0</v>
      </c>
      <c r="C76" s="328">
        <f>(C75-C69)</f>
        <v>0</v>
      </c>
      <c r="D76" s="328">
        <f>(D75-D69)</f>
        <v>0</v>
      </c>
      <c r="E76" s="341">
        <f>(E75-E69)</f>
        <v>0</v>
      </c>
      <c r="F76" s="341">
        <f>(F75-F69)</f>
        <v>0</v>
      </c>
      <c r="G76" s="354"/>
      <c r="H76" s="341">
        <f t="shared" ref="H76:L76" si="17">(H75-H69)</f>
        <v>0</v>
      </c>
      <c r="I76" s="372">
        <f t="shared" si="17"/>
        <v>0</v>
      </c>
      <c r="J76" s="372">
        <f t="shared" si="17"/>
        <v>0</v>
      </c>
      <c r="K76" s="374">
        <f t="shared" si="17"/>
        <v>0</v>
      </c>
      <c r="L76" s="91">
        <f t="shared" si="17"/>
        <v>0</v>
      </c>
      <c r="M76" s="65">
        <f>(M75-M69-'[1]House DECO &amp; REPAIR 25'!$B$32)</f>
        <v>85</v>
      </c>
      <c r="N76" s="747"/>
      <c r="O76" s="8">
        <f t="shared" si="15"/>
        <v>85</v>
      </c>
    </row>
    <row r="77" spans="1:15" ht="25" customHeight="1" thickTop="1" x14ac:dyDescent="0.2">
      <c r="E77" s="33"/>
      <c r="F77" s="33"/>
      <c r="G77" s="33"/>
      <c r="H77" s="33"/>
      <c r="I77" s="33"/>
      <c r="J77" s="33"/>
      <c r="K77" s="36"/>
      <c r="L77" s="724" t="s">
        <v>63</v>
      </c>
      <c r="M77" s="725"/>
      <c r="N77" s="726"/>
      <c r="O77" s="748">
        <f>SUM(O3:O76)</f>
        <v>32280</v>
      </c>
    </row>
    <row r="78" spans="1:15" ht="25" customHeight="1" thickBot="1" x14ac:dyDescent="0.25">
      <c r="E78" s="34"/>
      <c r="F78" s="34"/>
      <c r="G78" s="34"/>
      <c r="H78" s="34"/>
      <c r="I78" s="34"/>
      <c r="J78" s="34"/>
      <c r="K78" s="35"/>
      <c r="L78" s="727"/>
      <c r="M78" s="728"/>
      <c r="N78" s="729"/>
      <c r="O78" s="749"/>
    </row>
    <row r="79" spans="1:15" ht="35" customHeight="1" thickBot="1" x14ac:dyDescent="0.25">
      <c r="E79" s="37"/>
      <c r="F79" s="37"/>
      <c r="G79" s="37"/>
      <c r="H79" s="37"/>
      <c r="I79" s="37"/>
      <c r="J79" s="37"/>
      <c r="K79" s="38"/>
      <c r="L79" s="721" t="s">
        <v>64</v>
      </c>
      <c r="M79" s="722"/>
      <c r="N79" s="723"/>
      <c r="O79" s="30">
        <f>SUM(B66:M66)</f>
        <v>12600</v>
      </c>
    </row>
    <row r="80" spans="1:15" ht="31" customHeight="1" thickBot="1" x14ac:dyDescent="0.25">
      <c r="E80" s="39"/>
      <c r="F80" s="39"/>
      <c r="G80" s="39"/>
      <c r="H80" s="39"/>
      <c r="I80" s="39"/>
      <c r="J80" s="39"/>
      <c r="K80" s="40"/>
      <c r="L80" s="718" t="s">
        <v>42</v>
      </c>
      <c r="M80" s="719"/>
      <c r="N80" s="720"/>
      <c r="O80" s="9">
        <f>SUM(B76:M76)</f>
        <v>85</v>
      </c>
    </row>
    <row r="81" ht="25" customHeight="1" thickTop="1" x14ac:dyDescent="0.2"/>
  </sheetData>
  <mergeCells count="8">
    <mergeCell ref="L79:N79"/>
    <mergeCell ref="L80:N80"/>
    <mergeCell ref="N1:N66"/>
    <mergeCell ref="A2:M2"/>
    <mergeCell ref="A67:O68"/>
    <mergeCell ref="N69:N76"/>
    <mergeCell ref="L77:N78"/>
    <mergeCell ref="O77:O78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7AB3-DC4C-194A-BC26-7452EB2E5A18}">
  <sheetPr>
    <tabColor rgb="FF002060"/>
  </sheetPr>
  <dimension ref="A1:U92"/>
  <sheetViews>
    <sheetView tabSelected="1" topLeftCell="A43" zoomScale="75" zoomScaleNormal="75" workbookViewId="0">
      <selection activeCell="G83" sqref="G83:H83"/>
    </sheetView>
  </sheetViews>
  <sheetFormatPr baseColWidth="10" defaultColWidth="11.28515625" defaultRowHeight="25" customHeight="1" x14ac:dyDescent="0.2"/>
  <cols>
    <col min="1" max="1" width="27.42578125" style="56" customWidth="1"/>
    <col min="2" max="2" width="18.7109375" style="10" hidden="1" customWidth="1"/>
    <col min="3" max="3" width="16" style="10" hidden="1" customWidth="1"/>
    <col min="4" max="4" width="15.42578125" style="10" hidden="1" customWidth="1"/>
    <col min="5" max="5" width="16.140625" style="10" hidden="1" customWidth="1"/>
    <col min="6" max="6" width="17.5703125" style="10" hidden="1" customWidth="1"/>
    <col min="7" max="7" width="20" style="10" customWidth="1"/>
    <col min="8" max="8" width="12.140625" style="22" customWidth="1"/>
    <col min="9" max="9" width="17.5703125" style="10" customWidth="1"/>
    <col min="10" max="10" width="11.5703125" style="22" customWidth="1"/>
    <col min="11" max="11" width="16.140625" style="10" customWidth="1"/>
    <col min="12" max="12" width="12.42578125" style="22" customWidth="1"/>
    <col min="13" max="13" width="17.7109375" style="10" customWidth="1"/>
    <col min="14" max="14" width="13.28515625" style="22" customWidth="1"/>
    <col min="15" max="15" width="18.28515625" style="22" customWidth="1"/>
    <col min="16" max="16" width="14.140625" style="22" customWidth="1"/>
    <col min="17" max="17" width="16.140625" style="10" customWidth="1"/>
    <col min="18" max="18" width="15.140625" style="22" customWidth="1"/>
    <col min="19" max="19" width="17" style="10" customWidth="1"/>
    <col min="20" max="20" width="6.28515625" style="10" customWidth="1"/>
    <col min="21" max="21" width="26" style="10" customWidth="1"/>
    <col min="22" max="22" width="27.85546875" style="10" customWidth="1"/>
    <col min="23" max="32" width="10.5703125" style="10" customWidth="1"/>
    <col min="33" max="16384" width="11.28515625" style="10"/>
  </cols>
  <sheetData>
    <row r="1" spans="1:21" ht="44" customHeight="1" thickTop="1" thickBot="1" x14ac:dyDescent="0.25">
      <c r="A1" s="467" t="s">
        <v>136</v>
      </c>
      <c r="B1" s="468" t="s">
        <v>6</v>
      </c>
      <c r="C1" s="468" t="s">
        <v>7</v>
      </c>
      <c r="D1" s="469" t="s">
        <v>8</v>
      </c>
      <c r="E1" s="470" t="s">
        <v>9</v>
      </c>
      <c r="F1" s="126" t="s">
        <v>10</v>
      </c>
      <c r="G1" s="812" t="s">
        <v>2</v>
      </c>
      <c r="H1" s="813"/>
      <c r="I1" s="781" t="s">
        <v>60</v>
      </c>
      <c r="J1" s="782"/>
      <c r="K1" s="781" t="s">
        <v>3</v>
      </c>
      <c r="L1" s="782"/>
      <c r="M1" s="781" t="s">
        <v>61</v>
      </c>
      <c r="N1" s="782"/>
      <c r="O1" s="781" t="s">
        <v>4</v>
      </c>
      <c r="P1" s="782"/>
      <c r="Q1" s="126" t="s">
        <v>62</v>
      </c>
      <c r="R1" s="126"/>
      <c r="S1" s="126" t="s">
        <v>5</v>
      </c>
      <c r="T1" s="730"/>
      <c r="U1" s="472" t="s">
        <v>151</v>
      </c>
    </row>
    <row r="2" spans="1:21" ht="29" customHeight="1" thickBot="1" x14ac:dyDescent="0.25">
      <c r="A2" s="835"/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624"/>
      <c r="O2" s="473"/>
      <c r="P2" s="473"/>
      <c r="Q2" s="833"/>
      <c r="R2" s="833"/>
      <c r="S2" s="834"/>
      <c r="T2" s="789"/>
      <c r="U2" s="659"/>
    </row>
    <row r="3" spans="1:21" ht="45" customHeight="1" thickBot="1" x14ac:dyDescent="0.25">
      <c r="A3" s="792" t="s">
        <v>139</v>
      </c>
      <c r="B3" s="793"/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3"/>
      <c r="N3" s="793"/>
      <c r="O3" s="793"/>
      <c r="P3" s="793"/>
      <c r="Q3" s="793"/>
      <c r="R3" s="793"/>
      <c r="S3" s="794"/>
      <c r="T3" s="731"/>
      <c r="U3" s="413"/>
    </row>
    <row r="4" spans="1:21" ht="28" customHeight="1" thickBot="1" x14ac:dyDescent="0.25">
      <c r="A4" s="616" t="s">
        <v>11</v>
      </c>
      <c r="B4" s="617"/>
      <c r="C4" s="617"/>
      <c r="D4" s="618"/>
      <c r="E4" s="617"/>
      <c r="F4" s="664"/>
      <c r="G4" s="675">
        <v>800</v>
      </c>
      <c r="H4" s="669" t="s">
        <v>166</v>
      </c>
      <c r="I4" s="666">
        <v>1090</v>
      </c>
      <c r="J4" s="619" t="s">
        <v>166</v>
      </c>
      <c r="K4" s="625">
        <v>1090</v>
      </c>
      <c r="L4" s="619" t="s">
        <v>166</v>
      </c>
      <c r="M4" s="625">
        <v>1090</v>
      </c>
      <c r="N4" s="619" t="s">
        <v>166</v>
      </c>
      <c r="O4" s="131">
        <v>1025</v>
      </c>
      <c r="P4" s="131" t="s">
        <v>166</v>
      </c>
      <c r="Q4" s="701">
        <v>1025</v>
      </c>
      <c r="R4" s="619" t="s">
        <v>166</v>
      </c>
      <c r="S4" s="645">
        <v>1175</v>
      </c>
      <c r="T4" s="731"/>
      <c r="U4" s="660">
        <f>SUM(B4:S4)</f>
        <v>7295</v>
      </c>
    </row>
    <row r="5" spans="1:21" ht="26" customHeight="1" thickBot="1" x14ac:dyDescent="0.25">
      <c r="A5" s="616" t="s">
        <v>110</v>
      </c>
      <c r="B5" s="617"/>
      <c r="C5" s="617"/>
      <c r="D5" s="618"/>
      <c r="E5" s="617"/>
      <c r="F5" s="664"/>
      <c r="G5" s="675">
        <v>750</v>
      </c>
      <c r="H5" s="669" t="s">
        <v>170</v>
      </c>
      <c r="I5" s="666">
        <v>750</v>
      </c>
      <c r="J5" s="619" t="s">
        <v>166</v>
      </c>
      <c r="K5" s="625">
        <v>750</v>
      </c>
      <c r="L5" s="619" t="s">
        <v>166</v>
      </c>
      <c r="M5" s="625">
        <v>750</v>
      </c>
      <c r="N5" s="619" t="s">
        <v>166</v>
      </c>
      <c r="O5" s="131">
        <v>825</v>
      </c>
      <c r="P5" s="131" t="s">
        <v>166</v>
      </c>
      <c r="Q5" s="701">
        <v>825</v>
      </c>
      <c r="R5" s="619" t="s">
        <v>166</v>
      </c>
      <c r="S5" s="645">
        <v>825</v>
      </c>
      <c r="T5" s="731"/>
      <c r="U5" s="660">
        <f>SUM(B5:S5)</f>
        <v>5475</v>
      </c>
    </row>
    <row r="6" spans="1:21" ht="26" customHeight="1" thickBot="1" x14ac:dyDescent="0.25">
      <c r="A6" s="620" t="s">
        <v>13</v>
      </c>
      <c r="B6" s="621"/>
      <c r="C6" s="621"/>
      <c r="D6" s="622"/>
      <c r="E6" s="621"/>
      <c r="F6" s="665"/>
      <c r="G6" s="676">
        <v>166</v>
      </c>
      <c r="H6" s="670" t="s">
        <v>166</v>
      </c>
      <c r="I6" s="667">
        <v>166</v>
      </c>
      <c r="J6" s="623" t="s">
        <v>166</v>
      </c>
      <c r="K6" s="626">
        <v>170</v>
      </c>
      <c r="L6" s="623" t="s">
        <v>166</v>
      </c>
      <c r="M6" s="626">
        <v>170</v>
      </c>
      <c r="N6" s="623" t="s">
        <v>166</v>
      </c>
      <c r="O6" s="379">
        <v>170</v>
      </c>
      <c r="P6" s="379" t="s">
        <v>166</v>
      </c>
      <c r="Q6" s="702">
        <v>170</v>
      </c>
      <c r="R6" s="623" t="s">
        <v>166</v>
      </c>
      <c r="S6" s="646">
        <v>170</v>
      </c>
      <c r="T6" s="732"/>
      <c r="U6" s="660">
        <f>SUM(B6:S6)</f>
        <v>1182</v>
      </c>
    </row>
    <row r="7" spans="1:21" ht="32" customHeight="1" thickBot="1" x14ac:dyDescent="0.25">
      <c r="A7" s="620" t="s">
        <v>157</v>
      </c>
      <c r="B7" s="621"/>
      <c r="C7" s="621">
        <f>SUM('[1]House DECO &amp; REPAIR 25'!$D$32)</f>
        <v>0</v>
      </c>
      <c r="D7" s="622"/>
      <c r="E7" s="621"/>
      <c r="F7" s="665"/>
      <c r="G7" s="677">
        <v>0</v>
      </c>
      <c r="H7" s="671" t="s">
        <v>166</v>
      </c>
      <c r="I7" s="668">
        <v>0</v>
      </c>
      <c r="J7" s="623" t="s">
        <v>166</v>
      </c>
      <c r="K7" s="627">
        <v>0</v>
      </c>
      <c r="L7" s="623" t="s">
        <v>166</v>
      </c>
      <c r="M7" s="627">
        <v>0</v>
      </c>
      <c r="N7" s="623" t="s">
        <v>166</v>
      </c>
      <c r="O7" s="379">
        <v>0</v>
      </c>
      <c r="P7" s="379" t="s">
        <v>166</v>
      </c>
      <c r="Q7" s="703">
        <v>0</v>
      </c>
      <c r="R7" s="623" t="s">
        <v>166</v>
      </c>
      <c r="S7" s="646"/>
      <c r="T7" s="731"/>
      <c r="U7" s="660">
        <f>SUM(B7:S7)</f>
        <v>0</v>
      </c>
    </row>
    <row r="8" spans="1:21" ht="39" customHeight="1" thickBot="1" x14ac:dyDescent="0.25">
      <c r="A8" s="380" t="s">
        <v>137</v>
      </c>
      <c r="B8" s="537">
        <f t="shared" ref="B8:S8" si="0">SUM(B4:B7)</f>
        <v>0</v>
      </c>
      <c r="C8" s="537">
        <f t="shared" si="0"/>
        <v>0</v>
      </c>
      <c r="D8" s="545">
        <f t="shared" si="0"/>
        <v>0</v>
      </c>
      <c r="E8" s="537">
        <f t="shared" si="0"/>
        <v>0</v>
      </c>
      <c r="F8" s="537">
        <f t="shared" si="0"/>
        <v>0</v>
      </c>
      <c r="G8" s="814">
        <f>SUM(G4:G7)</f>
        <v>1716</v>
      </c>
      <c r="H8" s="814"/>
      <c r="I8" s="757">
        <f t="shared" si="0"/>
        <v>2006</v>
      </c>
      <c r="J8" s="757"/>
      <c r="K8" s="757">
        <f t="shared" si="0"/>
        <v>2010</v>
      </c>
      <c r="L8" s="757"/>
      <c r="M8" s="757">
        <f t="shared" si="0"/>
        <v>2010</v>
      </c>
      <c r="N8" s="757"/>
      <c r="O8" s="757">
        <f t="shared" si="0"/>
        <v>2020</v>
      </c>
      <c r="P8" s="757"/>
      <c r="Q8" s="757">
        <f t="shared" si="0"/>
        <v>2020</v>
      </c>
      <c r="R8" s="757"/>
      <c r="S8" s="384">
        <f t="shared" si="0"/>
        <v>2170</v>
      </c>
      <c r="T8" s="790"/>
      <c r="U8" s="523">
        <f>SUM(U4:U7)</f>
        <v>13952</v>
      </c>
    </row>
    <row r="9" spans="1:21" ht="41" customHeight="1" thickBot="1" x14ac:dyDescent="0.25">
      <c r="A9" s="818" t="s">
        <v>138</v>
      </c>
      <c r="B9" s="819"/>
      <c r="C9" s="819"/>
      <c r="D9" s="819"/>
      <c r="E9" s="819"/>
      <c r="F9" s="819"/>
      <c r="G9" s="819"/>
      <c r="H9" s="819"/>
      <c r="I9" s="819"/>
      <c r="J9" s="819"/>
      <c r="K9" s="819"/>
      <c r="L9" s="819"/>
      <c r="M9" s="819"/>
      <c r="N9" s="819"/>
      <c r="O9" s="819"/>
      <c r="P9" s="819"/>
      <c r="Q9" s="819"/>
      <c r="R9" s="819"/>
      <c r="S9" s="820"/>
      <c r="T9" s="732"/>
      <c r="U9" s="524"/>
    </row>
    <row r="10" spans="1:21" ht="25" customHeight="1" thickBot="1" x14ac:dyDescent="0.25">
      <c r="A10" s="610" t="s">
        <v>14</v>
      </c>
      <c r="B10" s="588"/>
      <c r="C10" s="588"/>
      <c r="D10" s="589"/>
      <c r="E10" s="588"/>
      <c r="F10" s="672"/>
      <c r="G10" s="678">
        <v>72</v>
      </c>
      <c r="H10" s="674" t="s">
        <v>166</v>
      </c>
      <c r="I10" s="673">
        <v>72</v>
      </c>
      <c r="J10" s="611" t="s">
        <v>166</v>
      </c>
      <c r="K10" s="628">
        <v>72</v>
      </c>
      <c r="L10" s="611" t="s">
        <v>166</v>
      </c>
      <c r="M10" s="689">
        <v>72</v>
      </c>
      <c r="N10" s="611" t="s">
        <v>166</v>
      </c>
      <c r="O10" s="133">
        <v>72</v>
      </c>
      <c r="P10" s="133" t="s">
        <v>166</v>
      </c>
      <c r="Q10" s="628">
        <v>72</v>
      </c>
      <c r="R10" s="611" t="s">
        <v>166</v>
      </c>
      <c r="S10" s="612">
        <v>72</v>
      </c>
      <c r="T10" s="731"/>
      <c r="U10" s="660">
        <f t="shared" ref="U10:U17" si="1">SUM(B10:S10)</f>
        <v>504</v>
      </c>
    </row>
    <row r="11" spans="1:21" ht="29" customHeight="1" thickBot="1" x14ac:dyDescent="0.25">
      <c r="A11" s="610" t="s">
        <v>133</v>
      </c>
      <c r="B11" s="588"/>
      <c r="C11" s="588"/>
      <c r="D11" s="589"/>
      <c r="E11" s="588"/>
      <c r="F11" s="672"/>
      <c r="G11" s="678">
        <v>105</v>
      </c>
      <c r="H11" s="674" t="s">
        <v>170</v>
      </c>
      <c r="I11" s="673">
        <v>105</v>
      </c>
      <c r="J11" s="611" t="s">
        <v>166</v>
      </c>
      <c r="K11" s="628">
        <v>105</v>
      </c>
      <c r="L11" s="611" t="s">
        <v>166</v>
      </c>
      <c r="M11" s="689">
        <v>105</v>
      </c>
      <c r="N11" s="611" t="s">
        <v>166</v>
      </c>
      <c r="O11" s="133">
        <v>105</v>
      </c>
      <c r="P11" s="133" t="s">
        <v>166</v>
      </c>
      <c r="Q11" s="628">
        <v>105</v>
      </c>
      <c r="R11" s="611" t="s">
        <v>166</v>
      </c>
      <c r="S11" s="612">
        <v>105</v>
      </c>
      <c r="T11" s="731"/>
      <c r="U11" s="660">
        <f t="shared" si="1"/>
        <v>735</v>
      </c>
    </row>
    <row r="12" spans="1:21" ht="25" customHeight="1" thickBot="1" x14ac:dyDescent="0.25">
      <c r="A12" s="610" t="s">
        <v>17</v>
      </c>
      <c r="B12" s="588"/>
      <c r="C12" s="588"/>
      <c r="D12" s="589"/>
      <c r="E12" s="588"/>
      <c r="F12" s="672"/>
      <c r="G12" s="678"/>
      <c r="H12" s="674" t="s">
        <v>166</v>
      </c>
      <c r="I12" s="673">
        <v>70</v>
      </c>
      <c r="J12" s="611" t="s">
        <v>166</v>
      </c>
      <c r="K12" s="628">
        <v>70</v>
      </c>
      <c r="L12" s="611" t="s">
        <v>166</v>
      </c>
      <c r="M12" s="689">
        <v>70</v>
      </c>
      <c r="N12" s="611" t="s">
        <v>166</v>
      </c>
      <c r="O12" s="133">
        <v>70</v>
      </c>
      <c r="P12" s="133" t="s">
        <v>166</v>
      </c>
      <c r="Q12" s="628">
        <v>70</v>
      </c>
      <c r="R12" s="611" t="s">
        <v>166</v>
      </c>
      <c r="S12" s="612">
        <v>70</v>
      </c>
      <c r="T12" s="731"/>
      <c r="U12" s="660">
        <f t="shared" si="1"/>
        <v>420</v>
      </c>
    </row>
    <row r="13" spans="1:21" ht="25" customHeight="1" thickBot="1" x14ac:dyDescent="0.25">
      <c r="A13" s="610" t="s">
        <v>131</v>
      </c>
      <c r="B13" s="588"/>
      <c r="C13" s="588"/>
      <c r="D13" s="589"/>
      <c r="E13" s="588"/>
      <c r="F13" s="672"/>
      <c r="G13" s="678">
        <v>40</v>
      </c>
      <c r="H13" s="674" t="s">
        <v>170</v>
      </c>
      <c r="I13" s="673">
        <v>40</v>
      </c>
      <c r="J13" s="611" t="s">
        <v>166</v>
      </c>
      <c r="K13" s="628">
        <v>40</v>
      </c>
      <c r="L13" s="611" t="s">
        <v>166</v>
      </c>
      <c r="M13" s="689">
        <v>40</v>
      </c>
      <c r="N13" s="611" t="s">
        <v>166</v>
      </c>
      <c r="O13" s="133">
        <v>40</v>
      </c>
      <c r="P13" s="133" t="s">
        <v>166</v>
      </c>
      <c r="Q13" s="628">
        <v>40</v>
      </c>
      <c r="R13" s="611" t="s">
        <v>166</v>
      </c>
      <c r="S13" s="612">
        <v>40</v>
      </c>
      <c r="T13" s="732"/>
      <c r="U13" s="660">
        <f t="shared" si="1"/>
        <v>280</v>
      </c>
    </row>
    <row r="14" spans="1:21" ht="25" customHeight="1" thickBot="1" x14ac:dyDescent="0.25">
      <c r="A14" s="610" t="s">
        <v>132</v>
      </c>
      <c r="B14" s="588"/>
      <c r="C14" s="588"/>
      <c r="D14" s="589"/>
      <c r="E14" s="588"/>
      <c r="F14" s="672"/>
      <c r="G14" s="678">
        <v>15</v>
      </c>
      <c r="H14" s="674" t="s">
        <v>166</v>
      </c>
      <c r="I14" s="673">
        <v>15</v>
      </c>
      <c r="J14" s="611" t="s">
        <v>166</v>
      </c>
      <c r="K14" s="628">
        <v>15</v>
      </c>
      <c r="L14" s="611" t="s">
        <v>166</v>
      </c>
      <c r="M14" s="689">
        <v>15</v>
      </c>
      <c r="N14" s="611" t="s">
        <v>166</v>
      </c>
      <c r="O14" s="133">
        <v>15</v>
      </c>
      <c r="P14" s="133" t="s">
        <v>166</v>
      </c>
      <c r="Q14" s="628">
        <v>15</v>
      </c>
      <c r="R14" s="611" t="s">
        <v>166</v>
      </c>
      <c r="S14" s="612">
        <v>15</v>
      </c>
      <c r="T14" s="732"/>
      <c r="U14" s="660">
        <f t="shared" si="1"/>
        <v>105</v>
      </c>
    </row>
    <row r="15" spans="1:21" ht="25" customHeight="1" thickBot="1" x14ac:dyDescent="0.25">
      <c r="A15" s="610" t="s">
        <v>135</v>
      </c>
      <c r="B15" s="588"/>
      <c r="C15" s="588"/>
      <c r="D15" s="589"/>
      <c r="E15" s="588"/>
      <c r="F15" s="672"/>
      <c r="G15" s="678">
        <v>50</v>
      </c>
      <c r="H15" s="674" t="s">
        <v>170</v>
      </c>
      <c r="I15" s="673">
        <v>50</v>
      </c>
      <c r="J15" s="611" t="s">
        <v>166</v>
      </c>
      <c r="K15" s="628">
        <v>50</v>
      </c>
      <c r="L15" s="611" t="s">
        <v>166</v>
      </c>
      <c r="M15" s="689">
        <v>30</v>
      </c>
      <c r="N15" s="611" t="s">
        <v>166</v>
      </c>
      <c r="O15" s="133">
        <v>30</v>
      </c>
      <c r="P15" s="133" t="s">
        <v>166</v>
      </c>
      <c r="Q15" s="628">
        <v>30</v>
      </c>
      <c r="R15" s="611" t="s">
        <v>166</v>
      </c>
      <c r="S15" s="612">
        <v>30</v>
      </c>
      <c r="T15" s="732"/>
      <c r="U15" s="660">
        <f t="shared" si="1"/>
        <v>270</v>
      </c>
    </row>
    <row r="16" spans="1:21" ht="25" customHeight="1" thickBot="1" x14ac:dyDescent="0.25">
      <c r="A16" s="610" t="s">
        <v>120</v>
      </c>
      <c r="B16" s="588"/>
      <c r="C16" s="588"/>
      <c r="D16" s="589"/>
      <c r="E16" s="588"/>
      <c r="F16" s="672"/>
      <c r="G16" s="678">
        <v>25</v>
      </c>
      <c r="H16" s="674" t="s">
        <v>170</v>
      </c>
      <c r="I16" s="673">
        <v>25</v>
      </c>
      <c r="J16" s="611" t="s">
        <v>166</v>
      </c>
      <c r="K16" s="628">
        <v>25</v>
      </c>
      <c r="L16" s="611" t="s">
        <v>166</v>
      </c>
      <c r="M16" s="689">
        <v>25</v>
      </c>
      <c r="N16" s="611" t="s">
        <v>166</v>
      </c>
      <c r="O16" s="133">
        <v>25</v>
      </c>
      <c r="P16" s="133" t="s">
        <v>166</v>
      </c>
      <c r="Q16" s="628">
        <v>25</v>
      </c>
      <c r="R16" s="611" t="s">
        <v>166</v>
      </c>
      <c r="S16" s="612">
        <v>25</v>
      </c>
      <c r="T16" s="732"/>
      <c r="U16" s="660">
        <f t="shared" si="1"/>
        <v>175</v>
      </c>
    </row>
    <row r="17" spans="1:21" ht="25" customHeight="1" thickBot="1" x14ac:dyDescent="0.25">
      <c r="A17" s="610" t="s">
        <v>39</v>
      </c>
      <c r="B17" s="588"/>
      <c r="C17" s="588"/>
      <c r="D17" s="589"/>
      <c r="E17" s="588"/>
      <c r="F17" s="672"/>
      <c r="G17" s="678">
        <v>15</v>
      </c>
      <c r="H17" s="674" t="s">
        <v>166</v>
      </c>
      <c r="I17" s="673">
        <v>15</v>
      </c>
      <c r="J17" s="611" t="s">
        <v>166</v>
      </c>
      <c r="K17" s="628">
        <v>15</v>
      </c>
      <c r="L17" s="611" t="s">
        <v>166</v>
      </c>
      <c r="M17" s="689">
        <v>15</v>
      </c>
      <c r="N17" s="611" t="s">
        <v>166</v>
      </c>
      <c r="O17" s="133">
        <v>15</v>
      </c>
      <c r="P17" s="133" t="s">
        <v>166</v>
      </c>
      <c r="Q17" s="628">
        <v>15</v>
      </c>
      <c r="R17" s="611" t="s">
        <v>166</v>
      </c>
      <c r="S17" s="612">
        <v>15</v>
      </c>
      <c r="T17" s="732"/>
      <c r="U17" s="660">
        <f t="shared" si="1"/>
        <v>105</v>
      </c>
    </row>
    <row r="18" spans="1:21" ht="41" customHeight="1" thickBot="1" x14ac:dyDescent="0.25">
      <c r="A18" s="389" t="s">
        <v>137</v>
      </c>
      <c r="B18" s="544">
        <f t="shared" ref="B18:G18" si="2">SUM(B10:B17)</f>
        <v>0</v>
      </c>
      <c r="C18" s="544">
        <f t="shared" si="2"/>
        <v>0</v>
      </c>
      <c r="D18" s="546">
        <f t="shared" si="2"/>
        <v>0</v>
      </c>
      <c r="E18" s="544">
        <f t="shared" si="2"/>
        <v>0</v>
      </c>
      <c r="F18" s="544">
        <f t="shared" si="2"/>
        <v>0</v>
      </c>
      <c r="G18" s="758">
        <f t="shared" si="2"/>
        <v>322</v>
      </c>
      <c r="H18" s="758"/>
      <c r="I18" s="758">
        <f>SUM(I10:I17)</f>
        <v>392</v>
      </c>
      <c r="J18" s="758"/>
      <c r="K18" s="758">
        <f>SUM(K10:K17)</f>
        <v>392</v>
      </c>
      <c r="L18" s="758"/>
      <c r="M18" s="758">
        <f>SUM(M10:M17)</f>
        <v>372</v>
      </c>
      <c r="N18" s="758"/>
      <c r="O18" s="758">
        <f>SUM(O10:O17)</f>
        <v>372</v>
      </c>
      <c r="P18" s="758"/>
      <c r="Q18" s="758">
        <f>SUM(Q10:Q17)</f>
        <v>372</v>
      </c>
      <c r="R18" s="758"/>
      <c r="S18" s="390">
        <f>SUM(S10:S17)</f>
        <v>372</v>
      </c>
      <c r="T18" s="790"/>
      <c r="U18" s="523">
        <f>SUM(U10:U17)</f>
        <v>2594</v>
      </c>
    </row>
    <row r="19" spans="1:21" ht="38" customHeight="1" thickBot="1" x14ac:dyDescent="0.25">
      <c r="A19" s="809" t="s">
        <v>143</v>
      </c>
      <c r="B19" s="810"/>
      <c r="C19" s="810"/>
      <c r="D19" s="810"/>
      <c r="E19" s="810"/>
      <c r="F19" s="810"/>
      <c r="G19" s="810"/>
      <c r="H19" s="810"/>
      <c r="I19" s="810"/>
      <c r="J19" s="810"/>
      <c r="K19" s="810"/>
      <c r="L19" s="810"/>
      <c r="M19" s="810"/>
      <c r="N19" s="810"/>
      <c r="O19" s="810"/>
      <c r="P19" s="810"/>
      <c r="Q19" s="810"/>
      <c r="R19" s="810"/>
      <c r="S19" s="811"/>
      <c r="T19" s="732"/>
      <c r="U19" s="524"/>
    </row>
    <row r="20" spans="1:21" ht="25" customHeight="1" thickBot="1" x14ac:dyDescent="0.25">
      <c r="A20" s="610" t="s">
        <v>153</v>
      </c>
      <c r="B20" s="588"/>
      <c r="C20" s="588"/>
      <c r="D20" s="589"/>
      <c r="E20" s="588"/>
      <c r="F20" s="588"/>
      <c r="G20" s="679">
        <v>60</v>
      </c>
      <c r="H20" s="611" t="s">
        <v>166</v>
      </c>
      <c r="I20" s="628">
        <v>60</v>
      </c>
      <c r="J20" s="611" t="s">
        <v>166</v>
      </c>
      <c r="K20" s="628">
        <v>60</v>
      </c>
      <c r="L20" s="611" t="s">
        <v>166</v>
      </c>
      <c r="M20" s="628">
        <v>60</v>
      </c>
      <c r="N20" s="611" t="s">
        <v>166</v>
      </c>
      <c r="O20" s="133">
        <v>60</v>
      </c>
      <c r="P20" s="133" t="s">
        <v>166</v>
      </c>
      <c r="Q20" s="689">
        <v>60</v>
      </c>
      <c r="R20" s="611" t="s">
        <v>166</v>
      </c>
      <c r="S20" s="612">
        <v>60</v>
      </c>
      <c r="T20" s="731"/>
      <c r="U20" s="660">
        <f>SUM(B20:S20)</f>
        <v>420</v>
      </c>
    </row>
    <row r="21" spans="1:21" ht="25" customHeight="1" thickBot="1" x14ac:dyDescent="0.25">
      <c r="A21" s="610" t="s">
        <v>45</v>
      </c>
      <c r="B21" s="588"/>
      <c r="C21" s="588"/>
      <c r="D21" s="589"/>
      <c r="E21" s="588"/>
      <c r="F21" s="588"/>
      <c r="G21" s="679">
        <v>20</v>
      </c>
      <c r="H21" s="611" t="s">
        <v>166</v>
      </c>
      <c r="I21" s="628">
        <v>20</v>
      </c>
      <c r="J21" s="611" t="s">
        <v>166</v>
      </c>
      <c r="K21" s="628">
        <v>20</v>
      </c>
      <c r="L21" s="611" t="s">
        <v>166</v>
      </c>
      <c r="M21" s="628">
        <v>20</v>
      </c>
      <c r="N21" s="611" t="s">
        <v>166</v>
      </c>
      <c r="O21" s="133">
        <v>20</v>
      </c>
      <c r="P21" s="133" t="s">
        <v>166</v>
      </c>
      <c r="Q21" s="689">
        <v>20</v>
      </c>
      <c r="R21" s="611" t="s">
        <v>166</v>
      </c>
      <c r="S21" s="612">
        <v>20</v>
      </c>
      <c r="T21" s="732"/>
      <c r="U21" s="660">
        <v>20</v>
      </c>
    </row>
    <row r="22" spans="1:21" ht="25" customHeight="1" thickBot="1" x14ac:dyDescent="0.25">
      <c r="A22" s="610" t="s">
        <v>1</v>
      </c>
      <c r="B22" s="588"/>
      <c r="C22" s="588"/>
      <c r="D22" s="589"/>
      <c r="E22" s="588"/>
      <c r="F22" s="588"/>
      <c r="G22" s="679">
        <v>200</v>
      </c>
      <c r="H22" s="611" t="s">
        <v>166</v>
      </c>
      <c r="I22" s="628">
        <v>200</v>
      </c>
      <c r="J22" s="611" t="s">
        <v>166</v>
      </c>
      <c r="K22" s="628">
        <v>200</v>
      </c>
      <c r="L22" s="611" t="s">
        <v>166</v>
      </c>
      <c r="M22" s="628">
        <v>200</v>
      </c>
      <c r="N22" s="611" t="s">
        <v>166</v>
      </c>
      <c r="O22" s="133">
        <v>300</v>
      </c>
      <c r="P22" s="133" t="s">
        <v>166</v>
      </c>
      <c r="Q22" s="689">
        <v>300</v>
      </c>
      <c r="R22" s="611" t="s">
        <v>166</v>
      </c>
      <c r="S22" s="612">
        <v>300</v>
      </c>
      <c r="T22" s="731"/>
      <c r="U22" s="660">
        <f>SUM(B22:S22)</f>
        <v>1700</v>
      </c>
    </row>
    <row r="23" spans="1:21" ht="25" customHeight="1" thickBot="1" x14ac:dyDescent="0.25">
      <c r="A23" s="610" t="s">
        <v>38</v>
      </c>
      <c r="B23" s="588"/>
      <c r="C23" s="588"/>
      <c r="D23" s="589"/>
      <c r="E23" s="588"/>
      <c r="F23" s="588"/>
      <c r="G23" s="679">
        <v>70</v>
      </c>
      <c r="H23" s="611" t="s">
        <v>166</v>
      </c>
      <c r="I23" s="628">
        <v>70</v>
      </c>
      <c r="J23" s="611" t="s">
        <v>166</v>
      </c>
      <c r="K23" s="628">
        <v>70</v>
      </c>
      <c r="L23" s="611" t="s">
        <v>166</v>
      </c>
      <c r="M23" s="628">
        <v>70</v>
      </c>
      <c r="N23" s="611" t="s">
        <v>166</v>
      </c>
      <c r="O23" s="133">
        <v>70</v>
      </c>
      <c r="P23" s="133" t="s">
        <v>166</v>
      </c>
      <c r="Q23" s="689">
        <v>70</v>
      </c>
      <c r="R23" s="611" t="s">
        <v>166</v>
      </c>
      <c r="S23" s="612">
        <v>70</v>
      </c>
      <c r="T23" s="732"/>
      <c r="U23" s="660">
        <f>SUM(B23:S23)</f>
        <v>490</v>
      </c>
    </row>
    <row r="24" spans="1:21" ht="25" customHeight="1" thickBot="1" x14ac:dyDescent="0.25">
      <c r="A24" s="610" t="s">
        <v>51</v>
      </c>
      <c r="B24" s="588"/>
      <c r="C24" s="588"/>
      <c r="D24" s="589"/>
      <c r="E24" s="588"/>
      <c r="F24" s="588"/>
      <c r="G24" s="679">
        <v>200</v>
      </c>
      <c r="H24" s="611" t="s">
        <v>166</v>
      </c>
      <c r="I24" s="628">
        <v>150</v>
      </c>
      <c r="J24" s="611" t="s">
        <v>166</v>
      </c>
      <c r="K24" s="628">
        <v>150</v>
      </c>
      <c r="L24" s="611" t="s">
        <v>166</v>
      </c>
      <c r="M24" s="628">
        <v>280</v>
      </c>
      <c r="N24" s="611" t="s">
        <v>166</v>
      </c>
      <c r="O24" s="133">
        <v>100</v>
      </c>
      <c r="P24" s="133" t="s">
        <v>166</v>
      </c>
      <c r="Q24" s="689">
        <v>100</v>
      </c>
      <c r="R24" s="611" t="s">
        <v>166</v>
      </c>
      <c r="S24" s="612">
        <v>100</v>
      </c>
      <c r="T24" s="732"/>
      <c r="U24" s="660">
        <f>SUM(B24:S24)</f>
        <v>1080</v>
      </c>
    </row>
    <row r="25" spans="1:21" ht="51" customHeight="1" thickBot="1" x14ac:dyDescent="0.25">
      <c r="A25" s="389" t="s">
        <v>137</v>
      </c>
      <c r="B25" s="544">
        <f t="shared" ref="B25:S25" si="3">SUM(B20:B24)</f>
        <v>0</v>
      </c>
      <c r="C25" s="544">
        <f t="shared" si="3"/>
        <v>0</v>
      </c>
      <c r="D25" s="546">
        <f t="shared" si="3"/>
        <v>0</v>
      </c>
      <c r="E25" s="544">
        <f t="shared" si="3"/>
        <v>0</v>
      </c>
      <c r="F25" s="544">
        <f t="shared" si="3"/>
        <v>0</v>
      </c>
      <c r="G25" s="758">
        <f t="shared" si="3"/>
        <v>550</v>
      </c>
      <c r="H25" s="758"/>
      <c r="I25" s="758">
        <f t="shared" si="3"/>
        <v>500</v>
      </c>
      <c r="J25" s="758"/>
      <c r="K25" s="758">
        <f t="shared" si="3"/>
        <v>500</v>
      </c>
      <c r="L25" s="758"/>
      <c r="M25" s="758">
        <f t="shared" si="3"/>
        <v>630</v>
      </c>
      <c r="N25" s="758"/>
      <c r="O25" s="758">
        <f t="shared" si="3"/>
        <v>550</v>
      </c>
      <c r="P25" s="758"/>
      <c r="Q25" s="758">
        <f t="shared" si="3"/>
        <v>550</v>
      </c>
      <c r="R25" s="758"/>
      <c r="S25" s="390">
        <f t="shared" si="3"/>
        <v>550</v>
      </c>
      <c r="T25" s="790"/>
      <c r="U25" s="523">
        <f>SUM(U20:U24)</f>
        <v>3710</v>
      </c>
    </row>
    <row r="26" spans="1:21" ht="46" customHeight="1" thickBot="1" x14ac:dyDescent="0.25">
      <c r="A26" s="809" t="s">
        <v>140</v>
      </c>
      <c r="B26" s="810"/>
      <c r="C26" s="810"/>
      <c r="D26" s="810"/>
      <c r="E26" s="810"/>
      <c r="F26" s="810"/>
      <c r="G26" s="810"/>
      <c r="H26" s="810"/>
      <c r="I26" s="810"/>
      <c r="J26" s="810"/>
      <c r="K26" s="810"/>
      <c r="L26" s="810"/>
      <c r="M26" s="810"/>
      <c r="N26" s="810"/>
      <c r="O26" s="810"/>
      <c r="P26" s="810"/>
      <c r="Q26" s="810"/>
      <c r="R26" s="810"/>
      <c r="S26" s="811"/>
      <c r="T26" s="732"/>
      <c r="U26" s="524"/>
    </row>
    <row r="27" spans="1:21" ht="25" customHeight="1" thickBot="1" x14ac:dyDescent="0.25">
      <c r="A27" s="610" t="s">
        <v>27</v>
      </c>
      <c r="B27" s="588"/>
      <c r="C27" s="588"/>
      <c r="D27" s="589"/>
      <c r="E27" s="588"/>
      <c r="F27" s="588"/>
      <c r="G27" s="679">
        <v>0</v>
      </c>
      <c r="H27" s="611" t="s">
        <v>166</v>
      </c>
      <c r="I27" s="628">
        <v>0</v>
      </c>
      <c r="J27" s="611" t="s">
        <v>166</v>
      </c>
      <c r="K27" s="628">
        <v>0</v>
      </c>
      <c r="L27" s="611" t="s">
        <v>166</v>
      </c>
      <c r="M27" s="689">
        <v>0</v>
      </c>
      <c r="N27" s="611" t="s">
        <v>166</v>
      </c>
      <c r="O27" s="127">
        <v>0</v>
      </c>
      <c r="P27" s="127" t="s">
        <v>166</v>
      </c>
      <c r="Q27" s="628"/>
      <c r="R27" s="611" t="s">
        <v>166</v>
      </c>
      <c r="S27" s="612"/>
      <c r="T27" s="732"/>
      <c r="U27" s="660">
        <f t="shared" ref="U27:U36" si="4">SUM(B27:S27)</f>
        <v>0</v>
      </c>
    </row>
    <row r="28" spans="1:21" ht="25" customHeight="1" thickBot="1" x14ac:dyDescent="0.25">
      <c r="A28" s="610" t="s">
        <v>124</v>
      </c>
      <c r="B28" s="588"/>
      <c r="C28" s="588"/>
      <c r="D28" s="593"/>
      <c r="E28" s="588"/>
      <c r="F28" s="588"/>
      <c r="G28" s="679">
        <v>10</v>
      </c>
      <c r="H28" s="611" t="s">
        <v>166</v>
      </c>
      <c r="I28" s="628">
        <v>10</v>
      </c>
      <c r="J28" s="611" t="s">
        <v>166</v>
      </c>
      <c r="K28" s="628">
        <v>10</v>
      </c>
      <c r="L28" s="611" t="s">
        <v>166</v>
      </c>
      <c r="M28" s="689">
        <v>10</v>
      </c>
      <c r="N28" s="611" t="s">
        <v>166</v>
      </c>
      <c r="O28" s="127">
        <v>10</v>
      </c>
      <c r="P28" s="127" t="s">
        <v>166</v>
      </c>
      <c r="Q28" s="628">
        <v>10</v>
      </c>
      <c r="R28" s="611" t="s">
        <v>166</v>
      </c>
      <c r="S28" s="612">
        <v>10</v>
      </c>
      <c r="T28" s="732"/>
      <c r="U28" s="660">
        <f t="shared" si="4"/>
        <v>70</v>
      </c>
    </row>
    <row r="29" spans="1:21" ht="25" customHeight="1" thickBot="1" x14ac:dyDescent="0.25">
      <c r="A29" s="610" t="s">
        <v>43</v>
      </c>
      <c r="B29" s="588"/>
      <c r="C29" s="588"/>
      <c r="D29" s="593"/>
      <c r="E29" s="588"/>
      <c r="F29" s="588"/>
      <c r="G29" s="679">
        <v>10</v>
      </c>
      <c r="H29" s="611" t="s">
        <v>166</v>
      </c>
      <c r="I29" s="628">
        <v>10</v>
      </c>
      <c r="J29" s="611" t="s">
        <v>166</v>
      </c>
      <c r="K29" s="628">
        <v>10</v>
      </c>
      <c r="L29" s="611" t="s">
        <v>166</v>
      </c>
      <c r="M29" s="689">
        <v>10</v>
      </c>
      <c r="N29" s="611" t="s">
        <v>166</v>
      </c>
      <c r="O29" s="127">
        <v>10</v>
      </c>
      <c r="P29" s="127" t="s">
        <v>166</v>
      </c>
      <c r="Q29" s="628">
        <v>10</v>
      </c>
      <c r="R29" s="611" t="s">
        <v>166</v>
      </c>
      <c r="S29" s="612">
        <v>10</v>
      </c>
      <c r="T29" s="732"/>
      <c r="U29" s="660">
        <f t="shared" si="4"/>
        <v>70</v>
      </c>
    </row>
    <row r="30" spans="1:21" ht="25" customHeight="1" thickBot="1" x14ac:dyDescent="0.25">
      <c r="A30" s="610" t="s">
        <v>119</v>
      </c>
      <c r="B30" s="588"/>
      <c r="C30" s="588"/>
      <c r="D30" s="593"/>
      <c r="E30" s="588"/>
      <c r="F30" s="588"/>
      <c r="G30" s="679">
        <v>50</v>
      </c>
      <c r="H30" s="611" t="s">
        <v>166</v>
      </c>
      <c r="I30" s="628">
        <v>50</v>
      </c>
      <c r="J30" s="611" t="s">
        <v>166</v>
      </c>
      <c r="K30" s="628">
        <v>50</v>
      </c>
      <c r="L30" s="611" t="s">
        <v>166</v>
      </c>
      <c r="M30" s="689">
        <v>50</v>
      </c>
      <c r="N30" s="611" t="s">
        <v>166</v>
      </c>
      <c r="O30" s="127">
        <v>50</v>
      </c>
      <c r="P30" s="127" t="s">
        <v>166</v>
      </c>
      <c r="Q30" s="628">
        <v>50</v>
      </c>
      <c r="R30" s="611" t="s">
        <v>166</v>
      </c>
      <c r="S30" s="612">
        <v>50</v>
      </c>
      <c r="T30" s="732"/>
      <c r="U30" s="660">
        <f t="shared" si="4"/>
        <v>350</v>
      </c>
    </row>
    <row r="31" spans="1:21" ht="25" customHeight="1" thickBot="1" x14ac:dyDescent="0.25">
      <c r="A31" s="610" t="s">
        <v>154</v>
      </c>
      <c r="B31" s="588"/>
      <c r="C31" s="588"/>
      <c r="D31" s="593"/>
      <c r="E31" s="588"/>
      <c r="F31" s="588"/>
      <c r="G31" s="679">
        <v>5</v>
      </c>
      <c r="H31" s="611" t="s">
        <v>166</v>
      </c>
      <c r="I31" s="628">
        <v>5</v>
      </c>
      <c r="J31" s="611" t="s">
        <v>166</v>
      </c>
      <c r="K31" s="628">
        <v>5</v>
      </c>
      <c r="L31" s="611" t="s">
        <v>166</v>
      </c>
      <c r="M31" s="689">
        <v>5</v>
      </c>
      <c r="N31" s="611" t="s">
        <v>166</v>
      </c>
      <c r="O31" s="127">
        <v>5</v>
      </c>
      <c r="P31" s="127" t="s">
        <v>166</v>
      </c>
      <c r="Q31" s="628">
        <v>5</v>
      </c>
      <c r="R31" s="611" t="s">
        <v>166</v>
      </c>
      <c r="S31" s="612">
        <v>5</v>
      </c>
      <c r="T31" s="732"/>
      <c r="U31" s="660">
        <f t="shared" si="4"/>
        <v>35</v>
      </c>
    </row>
    <row r="32" spans="1:21" ht="25" customHeight="1" thickBot="1" x14ac:dyDescent="0.25">
      <c r="A32" s="610" t="s">
        <v>19</v>
      </c>
      <c r="B32" s="588"/>
      <c r="C32" s="588"/>
      <c r="D32" s="593"/>
      <c r="E32" s="588"/>
      <c r="F32" s="588"/>
      <c r="G32" s="679">
        <v>20</v>
      </c>
      <c r="H32" s="611" t="s">
        <v>166</v>
      </c>
      <c r="I32" s="628">
        <v>20</v>
      </c>
      <c r="J32" s="611" t="s">
        <v>166</v>
      </c>
      <c r="K32" s="628">
        <v>20</v>
      </c>
      <c r="L32" s="611" t="s">
        <v>166</v>
      </c>
      <c r="M32" s="689">
        <v>20</v>
      </c>
      <c r="N32" s="611" t="s">
        <v>166</v>
      </c>
      <c r="O32" s="127">
        <v>15</v>
      </c>
      <c r="P32" s="127" t="s">
        <v>166</v>
      </c>
      <c r="Q32" s="628">
        <v>15</v>
      </c>
      <c r="R32" s="611" t="s">
        <v>166</v>
      </c>
      <c r="S32" s="612">
        <v>15</v>
      </c>
      <c r="T32" s="732"/>
      <c r="U32" s="660">
        <f t="shared" si="4"/>
        <v>125</v>
      </c>
    </row>
    <row r="33" spans="1:21" ht="25" customHeight="1" thickBot="1" x14ac:dyDescent="0.25">
      <c r="A33" s="610" t="s">
        <v>85</v>
      </c>
      <c r="B33" s="588"/>
      <c r="C33" s="588"/>
      <c r="D33" s="593"/>
      <c r="E33" s="588"/>
      <c r="F33" s="588"/>
      <c r="G33" s="679">
        <v>20</v>
      </c>
      <c r="H33" s="611" t="s">
        <v>166</v>
      </c>
      <c r="I33" s="628">
        <v>20</v>
      </c>
      <c r="J33" s="611" t="s">
        <v>166</v>
      </c>
      <c r="K33" s="628">
        <v>20</v>
      </c>
      <c r="L33" s="611" t="s">
        <v>166</v>
      </c>
      <c r="M33" s="689">
        <v>20</v>
      </c>
      <c r="N33" s="611" t="s">
        <v>166</v>
      </c>
      <c r="O33" s="127">
        <v>20</v>
      </c>
      <c r="P33" s="127" t="s">
        <v>166</v>
      </c>
      <c r="Q33" s="628">
        <v>20</v>
      </c>
      <c r="R33" s="611" t="s">
        <v>166</v>
      </c>
      <c r="S33" s="612">
        <v>20</v>
      </c>
      <c r="T33" s="732"/>
      <c r="U33" s="660">
        <f t="shared" si="4"/>
        <v>140</v>
      </c>
    </row>
    <row r="34" spans="1:21" ht="25" customHeight="1" thickBot="1" x14ac:dyDescent="0.25">
      <c r="A34" s="610" t="s">
        <v>66</v>
      </c>
      <c r="B34" s="588"/>
      <c r="C34" s="588"/>
      <c r="D34" s="593"/>
      <c r="E34" s="588"/>
      <c r="F34" s="588"/>
      <c r="G34" s="679">
        <v>10</v>
      </c>
      <c r="H34" s="611" t="s">
        <v>166</v>
      </c>
      <c r="I34" s="628">
        <v>10</v>
      </c>
      <c r="J34" s="611" t="s">
        <v>166</v>
      </c>
      <c r="K34" s="628">
        <v>10</v>
      </c>
      <c r="L34" s="611" t="s">
        <v>166</v>
      </c>
      <c r="M34" s="689">
        <v>10</v>
      </c>
      <c r="N34" s="611" t="s">
        <v>166</v>
      </c>
      <c r="O34" s="127">
        <v>10</v>
      </c>
      <c r="P34" s="127" t="s">
        <v>166</v>
      </c>
      <c r="Q34" s="628">
        <v>10</v>
      </c>
      <c r="R34" s="611" t="s">
        <v>166</v>
      </c>
      <c r="S34" s="612">
        <v>10</v>
      </c>
      <c r="T34" s="732"/>
      <c r="U34" s="660">
        <f t="shared" si="4"/>
        <v>70</v>
      </c>
    </row>
    <row r="35" spans="1:21" ht="25" customHeight="1" thickBot="1" x14ac:dyDescent="0.25">
      <c r="A35" s="610" t="s">
        <v>67</v>
      </c>
      <c r="B35" s="588"/>
      <c r="C35" s="588"/>
      <c r="D35" s="593"/>
      <c r="E35" s="588"/>
      <c r="F35" s="588"/>
      <c r="G35" s="679">
        <v>12</v>
      </c>
      <c r="H35" s="611" t="s">
        <v>166</v>
      </c>
      <c r="I35" s="628">
        <v>12</v>
      </c>
      <c r="J35" s="611" t="s">
        <v>166</v>
      </c>
      <c r="K35" s="628">
        <v>12</v>
      </c>
      <c r="L35" s="611" t="s">
        <v>166</v>
      </c>
      <c r="M35" s="689">
        <v>12</v>
      </c>
      <c r="N35" s="611" t="s">
        <v>166</v>
      </c>
      <c r="O35" s="127">
        <v>12</v>
      </c>
      <c r="P35" s="127" t="s">
        <v>166</v>
      </c>
      <c r="Q35" s="628">
        <v>12</v>
      </c>
      <c r="R35" s="611" t="s">
        <v>166</v>
      </c>
      <c r="S35" s="612">
        <v>12</v>
      </c>
      <c r="T35" s="732"/>
      <c r="U35" s="660">
        <f t="shared" si="4"/>
        <v>84</v>
      </c>
    </row>
    <row r="36" spans="1:21" ht="25" customHeight="1" thickBot="1" x14ac:dyDescent="0.25">
      <c r="A36" s="613" t="s">
        <v>115</v>
      </c>
      <c r="B36" s="592"/>
      <c r="C36" s="592"/>
      <c r="D36" s="593"/>
      <c r="E36" s="592"/>
      <c r="F36" s="592"/>
      <c r="G36" s="680">
        <v>14</v>
      </c>
      <c r="H36" s="614" t="s">
        <v>166</v>
      </c>
      <c r="I36" s="629">
        <v>14</v>
      </c>
      <c r="J36" s="614" t="s">
        <v>166</v>
      </c>
      <c r="K36" s="629">
        <v>14</v>
      </c>
      <c r="L36" s="614" t="s">
        <v>166</v>
      </c>
      <c r="M36" s="690">
        <v>14</v>
      </c>
      <c r="N36" s="614" t="s">
        <v>166</v>
      </c>
      <c r="O36" s="392">
        <v>8</v>
      </c>
      <c r="P36" s="392" t="s">
        <v>166</v>
      </c>
      <c r="Q36" s="629">
        <v>8</v>
      </c>
      <c r="R36" s="614" t="s">
        <v>166</v>
      </c>
      <c r="S36" s="615">
        <v>8</v>
      </c>
      <c r="T36" s="732"/>
      <c r="U36" s="660">
        <f t="shared" si="4"/>
        <v>80</v>
      </c>
    </row>
    <row r="37" spans="1:21" ht="44" customHeight="1" thickBot="1" x14ac:dyDescent="0.25">
      <c r="A37" s="380" t="s">
        <v>137</v>
      </c>
      <c r="B37" s="540">
        <f t="shared" ref="B37:S37" si="5">SUM(B27:B36)</f>
        <v>0</v>
      </c>
      <c r="C37" s="540">
        <f t="shared" si="5"/>
        <v>0</v>
      </c>
      <c r="D37" s="547">
        <f t="shared" si="5"/>
        <v>0</v>
      </c>
      <c r="E37" s="540">
        <f t="shared" si="5"/>
        <v>0</v>
      </c>
      <c r="F37" s="540">
        <f t="shared" si="5"/>
        <v>0</v>
      </c>
      <c r="G37" s="814">
        <f t="shared" si="5"/>
        <v>151</v>
      </c>
      <c r="H37" s="814"/>
      <c r="I37" s="757">
        <f t="shared" si="5"/>
        <v>151</v>
      </c>
      <c r="J37" s="757"/>
      <c r="K37" s="757">
        <f t="shared" si="5"/>
        <v>151</v>
      </c>
      <c r="L37" s="757"/>
      <c r="M37" s="757">
        <f t="shared" si="5"/>
        <v>151</v>
      </c>
      <c r="N37" s="757"/>
      <c r="O37" s="757">
        <f t="shared" si="5"/>
        <v>140</v>
      </c>
      <c r="P37" s="757"/>
      <c r="Q37" s="757">
        <f t="shared" si="5"/>
        <v>140</v>
      </c>
      <c r="R37" s="757"/>
      <c r="S37" s="384">
        <f t="shared" si="5"/>
        <v>140</v>
      </c>
      <c r="T37" s="790"/>
      <c r="U37" s="523">
        <f>SUM(U27:U36)</f>
        <v>1024</v>
      </c>
    </row>
    <row r="38" spans="1:21" ht="45" customHeight="1" thickBot="1" x14ac:dyDescent="0.25">
      <c r="A38" s="818" t="s">
        <v>141</v>
      </c>
      <c r="B38" s="819"/>
      <c r="C38" s="819"/>
      <c r="D38" s="819"/>
      <c r="E38" s="819"/>
      <c r="F38" s="819"/>
      <c r="G38" s="819"/>
      <c r="H38" s="819"/>
      <c r="I38" s="819"/>
      <c r="J38" s="819"/>
      <c r="K38" s="819"/>
      <c r="L38" s="819"/>
      <c r="M38" s="819"/>
      <c r="N38" s="819"/>
      <c r="O38" s="819"/>
      <c r="P38" s="819"/>
      <c r="Q38" s="819"/>
      <c r="R38" s="819"/>
      <c r="S38" s="820"/>
      <c r="T38" s="732"/>
      <c r="U38" s="524"/>
    </row>
    <row r="39" spans="1:21" ht="25" customHeight="1" thickBot="1" x14ac:dyDescent="0.25">
      <c r="A39" s="574" t="s">
        <v>21</v>
      </c>
      <c r="B39" s="583"/>
      <c r="C39" s="583"/>
      <c r="D39" s="584"/>
      <c r="E39" s="583"/>
      <c r="F39" s="583"/>
      <c r="G39" s="681">
        <v>180</v>
      </c>
      <c r="H39" s="569" t="s">
        <v>170</v>
      </c>
      <c r="I39" s="630">
        <v>180</v>
      </c>
      <c r="J39" s="585" t="s">
        <v>166</v>
      </c>
      <c r="K39" s="630">
        <v>180</v>
      </c>
      <c r="L39" s="585" t="s">
        <v>166</v>
      </c>
      <c r="M39" s="630">
        <v>180</v>
      </c>
      <c r="N39" s="585" t="s">
        <v>166</v>
      </c>
      <c r="O39" s="130">
        <v>180</v>
      </c>
      <c r="P39" s="130" t="s">
        <v>166</v>
      </c>
      <c r="Q39" s="699">
        <v>180</v>
      </c>
      <c r="R39" s="585" t="s">
        <v>166</v>
      </c>
      <c r="S39" s="586">
        <v>180</v>
      </c>
      <c r="T39" s="731"/>
      <c r="U39" s="660">
        <f>SUM(B39:S39)</f>
        <v>1260</v>
      </c>
    </row>
    <row r="40" spans="1:21" ht="25" customHeight="1" thickBot="1" x14ac:dyDescent="0.25">
      <c r="A40" s="574" t="s">
        <v>56</v>
      </c>
      <c r="B40" s="583"/>
      <c r="C40" s="583"/>
      <c r="D40" s="584"/>
      <c r="E40" s="583"/>
      <c r="F40" s="583"/>
      <c r="G40" s="682">
        <v>100</v>
      </c>
      <c r="H40" s="585" t="s">
        <v>170</v>
      </c>
      <c r="I40" s="630">
        <v>100</v>
      </c>
      <c r="J40" s="585" t="s">
        <v>166</v>
      </c>
      <c r="K40" s="630">
        <v>100</v>
      </c>
      <c r="L40" s="585" t="s">
        <v>166</v>
      </c>
      <c r="M40" s="630">
        <v>100</v>
      </c>
      <c r="N40" s="585" t="s">
        <v>166</v>
      </c>
      <c r="O40" s="130">
        <v>100</v>
      </c>
      <c r="P40" s="130" t="s">
        <v>166</v>
      </c>
      <c r="Q40" s="699">
        <v>100</v>
      </c>
      <c r="R40" s="585" t="s">
        <v>166</v>
      </c>
      <c r="S40" s="586">
        <v>100</v>
      </c>
      <c r="T40" s="731"/>
      <c r="U40" s="660">
        <f>SUM(B40:S40)</f>
        <v>700</v>
      </c>
    </row>
    <row r="41" spans="1:21" s="22" customFormat="1" ht="25" customHeight="1" thickBot="1" x14ac:dyDescent="0.25">
      <c r="A41" s="574" t="s">
        <v>22</v>
      </c>
      <c r="B41" s="583"/>
      <c r="C41" s="583"/>
      <c r="D41" s="584"/>
      <c r="E41" s="583"/>
      <c r="F41" s="583"/>
      <c r="G41" s="681">
        <v>50</v>
      </c>
      <c r="H41" s="569" t="s">
        <v>170</v>
      </c>
      <c r="I41" s="631">
        <v>50</v>
      </c>
      <c r="J41" s="569" t="s">
        <v>166</v>
      </c>
      <c r="K41" s="631">
        <v>50</v>
      </c>
      <c r="L41" s="569" t="s">
        <v>166</v>
      </c>
      <c r="M41" s="631">
        <v>50</v>
      </c>
      <c r="N41" s="569" t="s">
        <v>166</v>
      </c>
      <c r="O41" s="130">
        <v>50</v>
      </c>
      <c r="P41" s="130" t="s">
        <v>166</v>
      </c>
      <c r="Q41" s="699">
        <v>50</v>
      </c>
      <c r="R41" s="585" t="s">
        <v>166</v>
      </c>
      <c r="S41" s="586">
        <v>50</v>
      </c>
      <c r="T41" s="731"/>
      <c r="U41" s="660">
        <f>SUM(B41:S41)</f>
        <v>350</v>
      </c>
    </row>
    <row r="42" spans="1:21" ht="25" customHeight="1" thickBot="1" x14ac:dyDescent="0.25">
      <c r="A42" s="574" t="s">
        <v>58</v>
      </c>
      <c r="B42" s="583"/>
      <c r="C42" s="583"/>
      <c r="D42" s="584"/>
      <c r="E42" s="583"/>
      <c r="F42" s="583"/>
      <c r="G42" s="681">
        <v>0</v>
      </c>
      <c r="H42" s="569" t="s">
        <v>166</v>
      </c>
      <c r="I42" s="630"/>
      <c r="J42" s="585" t="s">
        <v>166</v>
      </c>
      <c r="K42" s="630"/>
      <c r="L42" s="585" t="s">
        <v>166</v>
      </c>
      <c r="M42" s="630"/>
      <c r="N42" s="585" t="s">
        <v>166</v>
      </c>
      <c r="O42" s="130"/>
      <c r="P42" s="130"/>
      <c r="Q42" s="699"/>
      <c r="R42" s="585" t="s">
        <v>166</v>
      </c>
      <c r="S42" s="586"/>
      <c r="T42" s="732"/>
      <c r="U42" s="660">
        <f>SUM(B42:S42)</f>
        <v>0</v>
      </c>
    </row>
    <row r="43" spans="1:21" ht="25" customHeight="1" thickBot="1" x14ac:dyDescent="0.25">
      <c r="A43" s="578" t="s">
        <v>57</v>
      </c>
      <c r="B43" s="579"/>
      <c r="C43" s="579"/>
      <c r="D43" s="580"/>
      <c r="E43" s="579"/>
      <c r="F43" s="579"/>
      <c r="G43" s="683">
        <v>0</v>
      </c>
      <c r="H43" s="573" t="s">
        <v>166</v>
      </c>
      <c r="I43" s="632"/>
      <c r="J43" s="581" t="s">
        <v>166</v>
      </c>
      <c r="K43" s="632"/>
      <c r="L43" s="581" t="s">
        <v>166</v>
      </c>
      <c r="M43" s="632"/>
      <c r="N43" s="581" t="s">
        <v>166</v>
      </c>
      <c r="O43" s="394"/>
      <c r="P43" s="394"/>
      <c r="Q43" s="700"/>
      <c r="R43" s="581" t="s">
        <v>166</v>
      </c>
      <c r="S43" s="582"/>
      <c r="T43" s="731"/>
      <c r="U43" s="660">
        <f>SUM(B43:S43)</f>
        <v>0</v>
      </c>
    </row>
    <row r="44" spans="1:21" ht="42" customHeight="1" thickBot="1" x14ac:dyDescent="0.25">
      <c r="A44" s="380" t="s">
        <v>137</v>
      </c>
      <c r="B44" s="543">
        <f t="shared" ref="B44:G44" si="6">SUM(B39:B43)</f>
        <v>0</v>
      </c>
      <c r="C44" s="543">
        <f t="shared" si="6"/>
        <v>0</v>
      </c>
      <c r="D44" s="548">
        <f t="shared" si="6"/>
        <v>0</v>
      </c>
      <c r="E44" s="543">
        <f t="shared" si="6"/>
        <v>0</v>
      </c>
      <c r="F44" s="543">
        <f t="shared" si="6"/>
        <v>0</v>
      </c>
      <c r="G44" s="815">
        <f t="shared" si="6"/>
        <v>330</v>
      </c>
      <c r="H44" s="815"/>
      <c r="I44" s="756">
        <f>SUM(I39:I43)</f>
        <v>330</v>
      </c>
      <c r="J44" s="756"/>
      <c r="K44" s="756">
        <f>SUM(K39:K43)</f>
        <v>330</v>
      </c>
      <c r="L44" s="756"/>
      <c r="M44" s="756">
        <f>SUM(M39:M43)</f>
        <v>330</v>
      </c>
      <c r="N44" s="756"/>
      <c r="O44" s="756">
        <f>SUM(O39:O43)</f>
        <v>330</v>
      </c>
      <c r="P44" s="756"/>
      <c r="Q44" s="756">
        <f>SUM(Q39:Q43)</f>
        <v>330</v>
      </c>
      <c r="R44" s="756"/>
      <c r="S44" s="398">
        <f>SUM(S39:S43)</f>
        <v>330</v>
      </c>
      <c r="T44" s="790"/>
      <c r="U44" s="523">
        <f>SUM(U39:U43)</f>
        <v>2310</v>
      </c>
    </row>
    <row r="45" spans="1:21" ht="46" customHeight="1" thickBot="1" x14ac:dyDescent="0.25">
      <c r="A45" s="806" t="s">
        <v>142</v>
      </c>
      <c r="B45" s="807"/>
      <c r="C45" s="807"/>
      <c r="D45" s="807"/>
      <c r="E45" s="807"/>
      <c r="F45" s="807"/>
      <c r="G45" s="807"/>
      <c r="H45" s="807"/>
      <c r="I45" s="807"/>
      <c r="J45" s="807"/>
      <c r="K45" s="807"/>
      <c r="L45" s="807"/>
      <c r="M45" s="807"/>
      <c r="N45" s="807"/>
      <c r="O45" s="807"/>
      <c r="P45" s="807"/>
      <c r="Q45" s="807"/>
      <c r="R45" s="807"/>
      <c r="S45" s="808"/>
      <c r="T45" s="732"/>
      <c r="U45" s="524"/>
    </row>
    <row r="46" spans="1:21" ht="25" customHeight="1" thickBot="1" x14ac:dyDescent="0.25">
      <c r="A46" s="604" t="s">
        <v>24</v>
      </c>
      <c r="B46" s="600"/>
      <c r="C46" s="600"/>
      <c r="D46" s="601"/>
      <c r="E46" s="600"/>
      <c r="F46" s="600"/>
      <c r="G46" s="684"/>
      <c r="H46" s="605" t="s">
        <v>166</v>
      </c>
      <c r="I46" s="635"/>
      <c r="J46" s="633" t="s">
        <v>166</v>
      </c>
      <c r="K46" s="635"/>
      <c r="L46" s="633" t="s">
        <v>166</v>
      </c>
      <c r="M46" s="691"/>
      <c r="N46" s="633" t="s">
        <v>166</v>
      </c>
      <c r="O46" s="399"/>
      <c r="P46" s="399"/>
      <c r="Q46" s="706"/>
      <c r="R46" s="704" t="s">
        <v>166</v>
      </c>
      <c r="S46" s="647"/>
      <c r="T46" s="731"/>
      <c r="U46" s="660">
        <f>SUM(B46:S46)</f>
        <v>0</v>
      </c>
    </row>
    <row r="47" spans="1:21" ht="25" customHeight="1" thickBot="1" x14ac:dyDescent="0.25">
      <c r="A47" s="606" t="s">
        <v>168</v>
      </c>
      <c r="B47" s="607"/>
      <c r="C47" s="607"/>
      <c r="D47" s="608"/>
      <c r="E47" s="607"/>
      <c r="F47" s="607"/>
      <c r="G47" s="685"/>
      <c r="H47" s="609" t="s">
        <v>166</v>
      </c>
      <c r="I47" s="636"/>
      <c r="J47" s="634" t="s">
        <v>166</v>
      </c>
      <c r="K47" s="636"/>
      <c r="L47" s="634" t="s">
        <v>166</v>
      </c>
      <c r="M47" s="692"/>
      <c r="N47" s="634" t="s">
        <v>166</v>
      </c>
      <c r="O47" s="410"/>
      <c r="P47" s="410"/>
      <c r="Q47" s="707"/>
      <c r="R47" s="705" t="s">
        <v>166</v>
      </c>
      <c r="S47" s="648"/>
      <c r="T47" s="790"/>
      <c r="U47" s="660"/>
    </row>
    <row r="48" spans="1:21" ht="37" customHeight="1" thickBot="1" x14ac:dyDescent="0.25">
      <c r="A48" s="401" t="s">
        <v>137</v>
      </c>
      <c r="B48" s="542">
        <f>SUM(B46)</f>
        <v>0</v>
      </c>
      <c r="C48" s="542">
        <f t="shared" ref="C48:M48" si="7">SUM(C46)</f>
        <v>0</v>
      </c>
      <c r="D48" s="549">
        <f t="shared" si="7"/>
        <v>0</v>
      </c>
      <c r="E48" s="542">
        <f t="shared" si="7"/>
        <v>0</v>
      </c>
      <c r="F48" s="542">
        <f t="shared" si="7"/>
        <v>0</v>
      </c>
      <c r="G48" s="761">
        <f t="shared" si="7"/>
        <v>0</v>
      </c>
      <c r="H48" s="761"/>
      <c r="I48" s="761">
        <f t="shared" si="7"/>
        <v>0</v>
      </c>
      <c r="J48" s="761"/>
      <c r="K48" s="761">
        <f t="shared" si="7"/>
        <v>0</v>
      </c>
      <c r="L48" s="761"/>
      <c r="M48" s="761">
        <f t="shared" si="7"/>
        <v>0</v>
      </c>
      <c r="N48" s="761"/>
      <c r="O48" s="761">
        <f>SUM(O46)</f>
        <v>0</v>
      </c>
      <c r="P48" s="761"/>
      <c r="Q48" s="761">
        <f>SUM(Q46)</f>
        <v>0</v>
      </c>
      <c r="R48" s="761"/>
      <c r="S48" s="402">
        <f t="shared" ref="S48" si="8">SUM(S46)</f>
        <v>0</v>
      </c>
      <c r="T48" s="790"/>
      <c r="U48" s="523">
        <f>SUM(U46:U47)</f>
        <v>0</v>
      </c>
    </row>
    <row r="49" spans="1:21" ht="37" customHeight="1" thickBot="1" x14ac:dyDescent="0.25">
      <c r="A49" s="821" t="s">
        <v>144</v>
      </c>
      <c r="B49" s="822"/>
      <c r="C49" s="822"/>
      <c r="D49" s="822"/>
      <c r="E49" s="822"/>
      <c r="F49" s="822"/>
      <c r="G49" s="822"/>
      <c r="H49" s="822"/>
      <c r="I49" s="822"/>
      <c r="J49" s="822"/>
      <c r="K49" s="822"/>
      <c r="L49" s="822"/>
      <c r="M49" s="822"/>
      <c r="N49" s="822"/>
      <c r="O49" s="822"/>
      <c r="P49" s="822"/>
      <c r="Q49" s="822"/>
      <c r="R49" s="822"/>
      <c r="S49" s="823"/>
      <c r="T49" s="732"/>
      <c r="U49" s="524"/>
    </row>
    <row r="50" spans="1:21" ht="25" customHeight="1" thickBot="1" x14ac:dyDescent="0.25">
      <c r="A50" s="595" t="s">
        <v>173</v>
      </c>
      <c r="B50" s="596"/>
      <c r="C50" s="596"/>
      <c r="D50" s="597"/>
      <c r="E50" s="596"/>
      <c r="F50" s="598"/>
      <c r="G50" s="681">
        <v>450</v>
      </c>
      <c r="H50" s="569" t="s">
        <v>170</v>
      </c>
      <c r="I50" s="638">
        <v>600</v>
      </c>
      <c r="J50" s="637" t="s">
        <v>166</v>
      </c>
      <c r="K50" s="638">
        <v>600</v>
      </c>
      <c r="L50" s="637" t="s">
        <v>166</v>
      </c>
      <c r="M50" s="693"/>
      <c r="N50" s="637" t="s">
        <v>166</v>
      </c>
      <c r="O50" s="134">
        <v>5000</v>
      </c>
      <c r="P50" s="134" t="s">
        <v>166</v>
      </c>
      <c r="Q50" s="708"/>
      <c r="R50" s="637" t="s">
        <v>166</v>
      </c>
      <c r="S50" s="649"/>
      <c r="T50" s="732"/>
      <c r="U50" s="660">
        <f>SUM(B50:S50)</f>
        <v>6650</v>
      </c>
    </row>
    <row r="51" spans="1:21" ht="26" customHeight="1" thickBot="1" x14ac:dyDescent="0.25">
      <c r="A51" s="599" t="s">
        <v>165</v>
      </c>
      <c r="B51" s="600"/>
      <c r="C51" s="600"/>
      <c r="D51" s="601"/>
      <c r="E51" s="600"/>
      <c r="F51" s="602"/>
      <c r="G51" s="686">
        <v>300</v>
      </c>
      <c r="H51" s="573" t="s">
        <v>170</v>
      </c>
      <c r="I51" s="639">
        <v>300</v>
      </c>
      <c r="J51" s="603" t="s">
        <v>166</v>
      </c>
      <c r="K51" s="639">
        <v>300</v>
      </c>
      <c r="L51" s="603" t="s">
        <v>166</v>
      </c>
      <c r="M51" s="694"/>
      <c r="N51" s="603" t="s">
        <v>166</v>
      </c>
      <c r="O51" s="403">
        <v>3000</v>
      </c>
      <c r="P51" s="403" t="s">
        <v>166</v>
      </c>
      <c r="Q51" s="709"/>
      <c r="R51" s="603" t="s">
        <v>166</v>
      </c>
      <c r="S51" s="650"/>
      <c r="T51" s="732"/>
      <c r="U51" s="660">
        <f>SUM(B51:S51)</f>
        <v>3900</v>
      </c>
    </row>
    <row r="52" spans="1:21" ht="28" customHeight="1" thickBot="1" x14ac:dyDescent="0.25">
      <c r="A52" s="599" t="s">
        <v>125</v>
      </c>
      <c r="B52" s="600"/>
      <c r="C52" s="600"/>
      <c r="D52" s="601"/>
      <c r="E52" s="600"/>
      <c r="F52" s="600"/>
      <c r="G52" s="687">
        <v>175</v>
      </c>
      <c r="H52" s="603" t="s">
        <v>166</v>
      </c>
      <c r="I52" s="640">
        <v>175</v>
      </c>
      <c r="J52" s="603" t="s">
        <v>166</v>
      </c>
      <c r="K52" s="640">
        <v>175</v>
      </c>
      <c r="L52" s="603" t="s">
        <v>166</v>
      </c>
      <c r="M52" s="695">
        <v>175</v>
      </c>
      <c r="N52" s="603" t="s">
        <v>166</v>
      </c>
      <c r="O52" s="403">
        <v>175</v>
      </c>
      <c r="P52" s="403" t="s">
        <v>166</v>
      </c>
      <c r="Q52" s="710"/>
      <c r="R52" s="603" t="s">
        <v>166</v>
      </c>
      <c r="S52" s="650">
        <v>175</v>
      </c>
      <c r="T52" s="732"/>
      <c r="U52" s="660">
        <f>SUM(B52:S52)</f>
        <v>1050</v>
      </c>
    </row>
    <row r="53" spans="1:21" ht="45" customHeight="1" thickBot="1" x14ac:dyDescent="0.25">
      <c r="A53" s="380" t="s">
        <v>137</v>
      </c>
      <c r="B53" s="540">
        <f>SUM(B50:B52)</f>
        <v>0</v>
      </c>
      <c r="C53" s="540">
        <f>SUM(C50:C52)</f>
        <v>0</v>
      </c>
      <c r="D53" s="547">
        <f t="shared" ref="D53:M53" si="9">SUM(D50:D52)</f>
        <v>0</v>
      </c>
      <c r="E53" s="540">
        <f t="shared" si="9"/>
        <v>0</v>
      </c>
      <c r="F53" s="540">
        <f t="shared" si="9"/>
        <v>0</v>
      </c>
      <c r="G53" s="757">
        <f t="shared" si="9"/>
        <v>925</v>
      </c>
      <c r="H53" s="757"/>
      <c r="I53" s="757">
        <f t="shared" si="9"/>
        <v>1075</v>
      </c>
      <c r="J53" s="757"/>
      <c r="K53" s="757">
        <f t="shared" si="9"/>
        <v>1075</v>
      </c>
      <c r="L53" s="757"/>
      <c r="M53" s="757">
        <f t="shared" si="9"/>
        <v>175</v>
      </c>
      <c r="N53" s="757"/>
      <c r="O53" s="757">
        <f>SUM(O50:O52)</f>
        <v>8175</v>
      </c>
      <c r="P53" s="757"/>
      <c r="Q53" s="757">
        <f>SUM(Q50:Q52)</f>
        <v>0</v>
      </c>
      <c r="R53" s="757"/>
      <c r="S53" s="381">
        <f>SUM(S50:S52)</f>
        <v>175</v>
      </c>
      <c r="T53" s="790"/>
      <c r="U53" s="523">
        <f>SUM(B53:S53)</f>
        <v>11600</v>
      </c>
    </row>
    <row r="54" spans="1:21" ht="39" customHeight="1" thickBot="1" x14ac:dyDescent="0.25">
      <c r="A54" s="806" t="s">
        <v>147</v>
      </c>
      <c r="B54" s="807"/>
      <c r="C54" s="807"/>
      <c r="D54" s="807"/>
      <c r="E54" s="807"/>
      <c r="F54" s="807"/>
      <c r="G54" s="807"/>
      <c r="H54" s="807"/>
      <c r="I54" s="807"/>
      <c r="J54" s="807"/>
      <c r="K54" s="807"/>
      <c r="L54" s="807"/>
      <c r="M54" s="807"/>
      <c r="N54" s="807"/>
      <c r="O54" s="807"/>
      <c r="P54" s="807"/>
      <c r="Q54" s="807"/>
      <c r="R54" s="807"/>
      <c r="S54" s="808"/>
      <c r="T54" s="732"/>
      <c r="U54" s="524"/>
    </row>
    <row r="55" spans="1:21" ht="25" customHeight="1" thickBot="1" x14ac:dyDescent="0.25">
      <c r="A55" s="587" t="s">
        <v>52</v>
      </c>
      <c r="B55" s="588"/>
      <c r="C55" s="588"/>
      <c r="D55" s="589"/>
      <c r="E55" s="588"/>
      <c r="F55" s="588"/>
      <c r="G55" s="688">
        <v>20</v>
      </c>
      <c r="H55" s="590" t="s">
        <v>170</v>
      </c>
      <c r="I55" s="641">
        <v>40</v>
      </c>
      <c r="J55" s="590" t="s">
        <v>166</v>
      </c>
      <c r="K55" s="641">
        <v>40</v>
      </c>
      <c r="L55" s="590" t="s">
        <v>166</v>
      </c>
      <c r="M55" s="696">
        <v>40</v>
      </c>
      <c r="N55" s="590" t="s">
        <v>166</v>
      </c>
      <c r="O55" s="127">
        <v>40</v>
      </c>
      <c r="P55" s="127" t="s">
        <v>166</v>
      </c>
      <c r="Q55" s="688">
        <v>60</v>
      </c>
      <c r="R55" s="590" t="s">
        <v>166</v>
      </c>
      <c r="S55" s="651">
        <v>60</v>
      </c>
      <c r="T55" s="732"/>
      <c r="U55" s="660">
        <f>SUM(B55:S55)</f>
        <v>300</v>
      </c>
    </row>
    <row r="56" spans="1:21" ht="25" customHeight="1" thickBot="1" x14ac:dyDescent="0.25">
      <c r="A56" s="587" t="s">
        <v>44</v>
      </c>
      <c r="B56" s="588"/>
      <c r="C56" s="588"/>
      <c r="D56" s="589"/>
      <c r="E56" s="588"/>
      <c r="F56" s="588"/>
      <c r="G56" s="681">
        <v>0</v>
      </c>
      <c r="H56" s="569" t="s">
        <v>166</v>
      </c>
      <c r="I56" s="641"/>
      <c r="J56" s="590" t="s">
        <v>166</v>
      </c>
      <c r="K56" s="641"/>
      <c r="L56" s="590" t="s">
        <v>166</v>
      </c>
      <c r="M56" s="696"/>
      <c r="N56" s="590" t="s">
        <v>166</v>
      </c>
      <c r="O56" s="127"/>
      <c r="P56" s="127" t="s">
        <v>166</v>
      </c>
      <c r="Q56" s="688"/>
      <c r="R56" s="590" t="s">
        <v>166</v>
      </c>
      <c r="S56" s="651"/>
      <c r="T56" s="732"/>
      <c r="U56" s="660">
        <f>SUM(B56:S56)</f>
        <v>0</v>
      </c>
    </row>
    <row r="57" spans="1:21" ht="25" customHeight="1" thickBot="1" x14ac:dyDescent="0.25">
      <c r="A57" s="591" t="s">
        <v>28</v>
      </c>
      <c r="B57" s="592"/>
      <c r="C57" s="592"/>
      <c r="D57" s="593"/>
      <c r="E57" s="592"/>
      <c r="F57" s="592"/>
      <c r="G57" s="686">
        <v>0</v>
      </c>
      <c r="H57" s="573" t="s">
        <v>166</v>
      </c>
      <c r="I57" s="642"/>
      <c r="J57" s="594" t="s">
        <v>166</v>
      </c>
      <c r="K57" s="642"/>
      <c r="L57" s="594" t="s">
        <v>166</v>
      </c>
      <c r="M57" s="697"/>
      <c r="N57" s="594" t="s">
        <v>166</v>
      </c>
      <c r="O57" s="392"/>
      <c r="P57" s="392" t="s">
        <v>166</v>
      </c>
      <c r="Q57" s="711"/>
      <c r="R57" s="594" t="s">
        <v>166</v>
      </c>
      <c r="S57" s="652"/>
      <c r="T57" s="732"/>
      <c r="U57" s="660">
        <f>SUM(B57:S57)</f>
        <v>0</v>
      </c>
    </row>
    <row r="58" spans="1:21" ht="41" customHeight="1" thickBot="1" x14ac:dyDescent="0.25">
      <c r="A58" s="387" t="s">
        <v>137</v>
      </c>
      <c r="B58" s="541">
        <f>SUM(B55:B57)</f>
        <v>0</v>
      </c>
      <c r="C58" s="541">
        <f>SUM(C55:C57)</f>
        <v>0</v>
      </c>
      <c r="D58" s="550">
        <f t="shared" ref="D58:S58" si="10">SUM(D55:D57)</f>
        <v>0</v>
      </c>
      <c r="E58" s="541">
        <f t="shared" si="10"/>
        <v>0</v>
      </c>
      <c r="F58" s="541">
        <f t="shared" si="10"/>
        <v>0</v>
      </c>
      <c r="G58" s="760">
        <f t="shared" si="10"/>
        <v>20</v>
      </c>
      <c r="H58" s="760"/>
      <c r="I58" s="760">
        <f t="shared" si="10"/>
        <v>40</v>
      </c>
      <c r="J58" s="760"/>
      <c r="K58" s="760">
        <f t="shared" si="10"/>
        <v>40</v>
      </c>
      <c r="L58" s="760"/>
      <c r="M58" s="760">
        <f t="shared" si="10"/>
        <v>40</v>
      </c>
      <c r="N58" s="760"/>
      <c r="O58" s="760">
        <f t="shared" si="10"/>
        <v>40</v>
      </c>
      <c r="P58" s="760"/>
      <c r="Q58" s="760">
        <f t="shared" si="10"/>
        <v>60</v>
      </c>
      <c r="R58" s="760"/>
      <c r="S58" s="388">
        <f t="shared" si="10"/>
        <v>60</v>
      </c>
      <c r="T58" s="790"/>
      <c r="U58" s="523">
        <f>SUM(U55:U57)</f>
        <v>300</v>
      </c>
    </row>
    <row r="59" spans="1:21" ht="38" customHeight="1" thickBot="1" x14ac:dyDescent="0.25">
      <c r="A59" s="809" t="s">
        <v>155</v>
      </c>
      <c r="B59" s="810"/>
      <c r="C59" s="810"/>
      <c r="D59" s="810"/>
      <c r="E59" s="810"/>
      <c r="F59" s="810"/>
      <c r="G59" s="810"/>
      <c r="H59" s="810"/>
      <c r="I59" s="810"/>
      <c r="J59" s="810"/>
      <c r="K59" s="810"/>
      <c r="L59" s="810"/>
      <c r="M59" s="810"/>
      <c r="N59" s="810"/>
      <c r="O59" s="810"/>
      <c r="P59" s="810"/>
      <c r="Q59" s="810"/>
      <c r="R59" s="810"/>
      <c r="S59" s="811"/>
      <c r="T59" s="732"/>
      <c r="U59" s="525"/>
    </row>
    <row r="60" spans="1:21" ht="25" customHeight="1" thickBot="1" x14ac:dyDescent="0.25">
      <c r="A60" s="587" t="s">
        <v>155</v>
      </c>
      <c r="B60" s="588"/>
      <c r="C60" s="588"/>
      <c r="D60" s="589"/>
      <c r="E60" s="588"/>
      <c r="F60" s="588"/>
      <c r="G60" s="688">
        <v>180</v>
      </c>
      <c r="H60" s="590" t="s">
        <v>166</v>
      </c>
      <c r="I60" s="641"/>
      <c r="J60" s="590" t="s">
        <v>166</v>
      </c>
      <c r="K60" s="641"/>
      <c r="L60" s="590" t="s">
        <v>166</v>
      </c>
      <c r="M60" s="696"/>
      <c r="N60" s="590" t="s">
        <v>166</v>
      </c>
      <c r="O60" s="127"/>
      <c r="P60" s="127" t="s">
        <v>166</v>
      </c>
      <c r="Q60" s="712"/>
      <c r="R60" s="590" t="s">
        <v>166</v>
      </c>
      <c r="S60" s="651"/>
      <c r="T60" s="732"/>
      <c r="U60" s="660">
        <f>SUM(B60:S60)</f>
        <v>180</v>
      </c>
    </row>
    <row r="61" spans="1:21" ht="25" customHeight="1" thickBot="1" x14ac:dyDescent="0.25">
      <c r="A61" s="591" t="s">
        <v>163</v>
      </c>
      <c r="B61" s="592"/>
      <c r="C61" s="592"/>
      <c r="D61" s="593"/>
      <c r="E61" s="592"/>
      <c r="F61" s="592"/>
      <c r="G61" s="688">
        <v>276</v>
      </c>
      <c r="H61" s="594" t="s">
        <v>170</v>
      </c>
      <c r="I61" s="642"/>
      <c r="J61" s="594" t="s">
        <v>166</v>
      </c>
      <c r="K61" s="642"/>
      <c r="L61" s="594" t="s">
        <v>166</v>
      </c>
      <c r="M61" s="697"/>
      <c r="N61" s="594" t="s">
        <v>166</v>
      </c>
      <c r="O61" s="392"/>
      <c r="P61" s="392" t="s">
        <v>166</v>
      </c>
      <c r="Q61" s="713"/>
      <c r="R61" s="594" t="s">
        <v>166</v>
      </c>
      <c r="S61" s="652"/>
      <c r="T61" s="732"/>
      <c r="U61" s="660">
        <f>SUM(B61:S61)</f>
        <v>276</v>
      </c>
    </row>
    <row r="62" spans="1:21" ht="25" customHeight="1" thickBot="1" x14ac:dyDescent="0.25">
      <c r="A62" s="591" t="s">
        <v>174</v>
      </c>
      <c r="B62" s="592"/>
      <c r="C62" s="592"/>
      <c r="D62" s="593"/>
      <c r="E62" s="592"/>
      <c r="F62" s="592"/>
      <c r="G62" s="688">
        <v>15</v>
      </c>
      <c r="H62" s="594" t="s">
        <v>166</v>
      </c>
      <c r="I62" s="642"/>
      <c r="J62" s="594"/>
      <c r="K62" s="642"/>
      <c r="L62" s="594"/>
      <c r="M62" s="697"/>
      <c r="N62" s="594"/>
      <c r="O62" s="392"/>
      <c r="P62" s="392"/>
      <c r="Q62" s="713"/>
      <c r="R62" s="594"/>
      <c r="S62" s="652"/>
      <c r="T62" s="732"/>
      <c r="U62" s="660"/>
    </row>
    <row r="63" spans="1:21" ht="25" customHeight="1" thickBot="1" x14ac:dyDescent="0.25">
      <c r="A63" s="591" t="s">
        <v>171</v>
      </c>
      <c r="B63" s="592"/>
      <c r="C63" s="592"/>
      <c r="D63" s="593"/>
      <c r="E63" s="592"/>
      <c r="F63" s="592"/>
      <c r="G63" s="688">
        <v>65</v>
      </c>
      <c r="H63" s="594" t="s">
        <v>170</v>
      </c>
      <c r="I63" s="642"/>
      <c r="J63" s="594" t="s">
        <v>166</v>
      </c>
      <c r="K63" s="642"/>
      <c r="L63" s="594" t="s">
        <v>166</v>
      </c>
      <c r="M63" s="697"/>
      <c r="N63" s="594" t="s">
        <v>166</v>
      </c>
      <c r="O63" s="392"/>
      <c r="P63" s="392" t="s">
        <v>166</v>
      </c>
      <c r="Q63" s="713"/>
      <c r="R63" s="594" t="s">
        <v>166</v>
      </c>
      <c r="S63" s="652"/>
      <c r="T63" s="732"/>
      <c r="U63" s="660"/>
    </row>
    <row r="64" spans="1:21" ht="25" customHeight="1" thickBot="1" x14ac:dyDescent="0.25">
      <c r="A64" s="591" t="s">
        <v>172</v>
      </c>
      <c r="B64" s="592"/>
      <c r="C64" s="592"/>
      <c r="D64" s="593"/>
      <c r="E64" s="592"/>
      <c r="F64" s="592"/>
      <c r="G64" s="688">
        <v>150</v>
      </c>
      <c r="H64" s="594" t="s">
        <v>166</v>
      </c>
      <c r="I64" s="642"/>
      <c r="J64" s="594" t="s">
        <v>166</v>
      </c>
      <c r="K64" s="642"/>
      <c r="L64" s="594" t="s">
        <v>166</v>
      </c>
      <c r="M64" s="697"/>
      <c r="N64" s="594" t="s">
        <v>166</v>
      </c>
      <c r="O64" s="392"/>
      <c r="P64" s="392" t="s">
        <v>166</v>
      </c>
      <c r="Q64" s="713"/>
      <c r="R64" s="594" t="s">
        <v>166</v>
      </c>
      <c r="S64" s="652"/>
      <c r="T64" s="732"/>
      <c r="U64" s="660">
        <f>SUM(B64:S64)</f>
        <v>150</v>
      </c>
    </row>
    <row r="65" spans="1:21" ht="25" customHeight="1" thickBot="1" x14ac:dyDescent="0.25">
      <c r="A65" s="591" t="s">
        <v>164</v>
      </c>
      <c r="B65" s="592"/>
      <c r="C65" s="592"/>
      <c r="D65" s="593"/>
      <c r="E65" s="592"/>
      <c r="F65" s="592"/>
      <c r="G65" s="688">
        <v>0</v>
      </c>
      <c r="H65" s="594" t="s">
        <v>166</v>
      </c>
      <c r="I65" s="642"/>
      <c r="J65" s="594" t="s">
        <v>166</v>
      </c>
      <c r="K65" s="642"/>
      <c r="L65" s="594" t="s">
        <v>166</v>
      </c>
      <c r="M65" s="697"/>
      <c r="N65" s="594" t="s">
        <v>166</v>
      </c>
      <c r="O65" s="392"/>
      <c r="P65" s="392" t="s">
        <v>166</v>
      </c>
      <c r="Q65" s="713"/>
      <c r="R65" s="594" t="s">
        <v>166</v>
      </c>
      <c r="S65" s="652"/>
      <c r="T65" s="732"/>
      <c r="U65" s="660">
        <f>SUM(B65:S65)</f>
        <v>0</v>
      </c>
    </row>
    <row r="66" spans="1:21" ht="25" customHeight="1" thickBot="1" x14ac:dyDescent="0.25">
      <c r="A66" s="591" t="s">
        <v>32</v>
      </c>
      <c r="B66" s="592"/>
      <c r="C66" s="592"/>
      <c r="D66" s="593"/>
      <c r="E66" s="592"/>
      <c r="F66" s="592"/>
      <c r="G66" s="688">
        <v>0</v>
      </c>
      <c r="H66" s="573" t="s">
        <v>166</v>
      </c>
      <c r="I66" s="643"/>
      <c r="J66" s="594" t="s">
        <v>166</v>
      </c>
      <c r="K66" s="643"/>
      <c r="L66" s="594" t="s">
        <v>166</v>
      </c>
      <c r="M66" s="698"/>
      <c r="N66" s="594" t="s">
        <v>166</v>
      </c>
      <c r="O66" s="392"/>
      <c r="P66" s="392" t="s">
        <v>166</v>
      </c>
      <c r="Q66" s="714"/>
      <c r="R66" s="594" t="s">
        <v>166</v>
      </c>
      <c r="S66" s="652"/>
      <c r="T66" s="732"/>
      <c r="U66" s="660">
        <f>SUM(B66:S66)</f>
        <v>0</v>
      </c>
    </row>
    <row r="67" spans="1:21" ht="41" customHeight="1" thickBot="1" x14ac:dyDescent="0.25">
      <c r="A67" s="404" t="s">
        <v>137</v>
      </c>
      <c r="B67" s="540">
        <f t="shared" ref="B67:S67" si="11">SUM(B59:B66)</f>
        <v>0</v>
      </c>
      <c r="C67" s="540">
        <f t="shared" si="11"/>
        <v>0</v>
      </c>
      <c r="D67" s="547">
        <f t="shared" si="11"/>
        <v>0</v>
      </c>
      <c r="E67" s="540">
        <f t="shared" si="11"/>
        <v>0</v>
      </c>
      <c r="F67" s="540">
        <f t="shared" si="11"/>
        <v>0</v>
      </c>
      <c r="G67" s="757">
        <f t="shared" si="11"/>
        <v>686</v>
      </c>
      <c r="H67" s="757"/>
      <c r="I67" s="757">
        <f t="shared" si="11"/>
        <v>0</v>
      </c>
      <c r="J67" s="757"/>
      <c r="K67" s="757">
        <f t="shared" si="11"/>
        <v>0</v>
      </c>
      <c r="L67" s="757"/>
      <c r="M67" s="757">
        <f t="shared" si="11"/>
        <v>0</v>
      </c>
      <c r="N67" s="757"/>
      <c r="O67" s="757">
        <f t="shared" si="11"/>
        <v>0</v>
      </c>
      <c r="P67" s="757"/>
      <c r="Q67" s="757">
        <f t="shared" si="11"/>
        <v>0</v>
      </c>
      <c r="R67" s="757"/>
      <c r="S67" s="384">
        <f t="shared" si="11"/>
        <v>0</v>
      </c>
      <c r="T67" s="790"/>
      <c r="U67" s="523">
        <f>SUM(U59:U66)</f>
        <v>606</v>
      </c>
    </row>
    <row r="68" spans="1:21" ht="34" customHeight="1" thickBot="1" x14ac:dyDescent="0.25">
      <c r="A68" s="803" t="s">
        <v>42</v>
      </c>
      <c r="B68" s="804"/>
      <c r="C68" s="804"/>
      <c r="D68" s="804"/>
      <c r="E68" s="804"/>
      <c r="F68" s="804"/>
      <c r="G68" s="804"/>
      <c r="H68" s="804"/>
      <c r="I68" s="804"/>
      <c r="J68" s="804"/>
      <c r="K68" s="804"/>
      <c r="L68" s="804"/>
      <c r="M68" s="804"/>
      <c r="N68" s="804"/>
      <c r="O68" s="804"/>
      <c r="P68" s="804"/>
      <c r="Q68" s="804"/>
      <c r="R68" s="804"/>
      <c r="S68" s="805"/>
      <c r="T68" s="731"/>
      <c r="U68" s="524"/>
    </row>
    <row r="69" spans="1:21" ht="29" customHeight="1" thickBot="1" x14ac:dyDescent="0.25">
      <c r="A69" s="574" t="s">
        <v>40</v>
      </c>
      <c r="B69" s="583"/>
      <c r="C69" s="583"/>
      <c r="D69" s="584"/>
      <c r="E69" s="583"/>
      <c r="F69" s="583"/>
      <c r="G69" s="682">
        <v>0</v>
      </c>
      <c r="H69" s="585" t="s">
        <v>166</v>
      </c>
      <c r="I69" s="630"/>
      <c r="J69" s="585" t="s">
        <v>166</v>
      </c>
      <c r="K69" s="630">
        <v>50</v>
      </c>
      <c r="L69" s="585" t="s">
        <v>166</v>
      </c>
      <c r="M69" s="699">
        <v>50</v>
      </c>
      <c r="N69" s="585" t="s">
        <v>166</v>
      </c>
      <c r="O69" s="129">
        <v>3000</v>
      </c>
      <c r="P69" s="128" t="s">
        <v>166</v>
      </c>
      <c r="Q69" s="715">
        <v>600</v>
      </c>
      <c r="R69" s="585" t="s">
        <v>166</v>
      </c>
      <c r="S69" s="653">
        <v>600</v>
      </c>
      <c r="T69" s="731"/>
      <c r="U69" s="660">
        <f>SUM(B69:S69)</f>
        <v>4300</v>
      </c>
    </row>
    <row r="70" spans="1:21" ht="33" customHeight="1" thickBot="1" x14ac:dyDescent="0.25">
      <c r="A70" s="574" t="s">
        <v>34</v>
      </c>
      <c r="B70" s="583"/>
      <c r="C70" s="583"/>
      <c r="D70" s="584"/>
      <c r="E70" s="583"/>
      <c r="F70" s="583"/>
      <c r="G70" s="682">
        <v>0</v>
      </c>
      <c r="H70" s="585" t="s">
        <v>166</v>
      </c>
      <c r="I70" s="630"/>
      <c r="J70" s="585" t="s">
        <v>166</v>
      </c>
      <c r="K70" s="630"/>
      <c r="L70" s="585" t="s">
        <v>166</v>
      </c>
      <c r="M70" s="699"/>
      <c r="N70" s="585" t="s">
        <v>166</v>
      </c>
      <c r="O70" s="130"/>
      <c r="P70" s="128" t="s">
        <v>166</v>
      </c>
      <c r="Q70" s="715"/>
      <c r="R70" s="585" t="s">
        <v>166</v>
      </c>
      <c r="S70" s="653"/>
      <c r="T70" s="732"/>
      <c r="U70" s="660">
        <f>SUM(B70:S70)</f>
        <v>0</v>
      </c>
    </row>
    <row r="71" spans="1:21" ht="33" customHeight="1" thickBot="1" x14ac:dyDescent="0.25">
      <c r="A71" s="578" t="s">
        <v>79</v>
      </c>
      <c r="B71" s="579"/>
      <c r="C71" s="579"/>
      <c r="D71" s="580"/>
      <c r="E71" s="579"/>
      <c r="F71" s="579"/>
      <c r="G71" s="682">
        <v>0</v>
      </c>
      <c r="H71" s="581" t="s">
        <v>166</v>
      </c>
      <c r="I71" s="632"/>
      <c r="J71" s="581" t="s">
        <v>166</v>
      </c>
      <c r="K71" s="632"/>
      <c r="L71" s="581" t="s">
        <v>166</v>
      </c>
      <c r="M71" s="700"/>
      <c r="N71" s="581" t="s">
        <v>166</v>
      </c>
      <c r="O71" s="394">
        <v>400</v>
      </c>
      <c r="P71" s="530" t="s">
        <v>166</v>
      </c>
      <c r="Q71" s="716">
        <v>300</v>
      </c>
      <c r="R71" s="581" t="s">
        <v>166</v>
      </c>
      <c r="S71" s="654">
        <v>300</v>
      </c>
      <c r="T71" s="732"/>
      <c r="U71" s="660">
        <f>SUM(B71:S71)</f>
        <v>1000</v>
      </c>
    </row>
    <row r="72" spans="1:21" ht="44" customHeight="1" thickBot="1" x14ac:dyDescent="0.25">
      <c r="A72" s="405" t="s">
        <v>137</v>
      </c>
      <c r="B72" s="539">
        <f t="shared" ref="B72:S72" si="12">SUM(B69:B71)</f>
        <v>0</v>
      </c>
      <c r="C72" s="539">
        <f t="shared" si="12"/>
        <v>0</v>
      </c>
      <c r="D72" s="551">
        <f t="shared" si="12"/>
        <v>0</v>
      </c>
      <c r="E72" s="539">
        <f t="shared" si="12"/>
        <v>0</v>
      </c>
      <c r="F72" s="539">
        <f t="shared" si="12"/>
        <v>0</v>
      </c>
      <c r="G72" s="759">
        <f t="shared" si="12"/>
        <v>0</v>
      </c>
      <c r="H72" s="759"/>
      <c r="I72" s="759">
        <f t="shared" si="12"/>
        <v>0</v>
      </c>
      <c r="J72" s="759"/>
      <c r="K72" s="759">
        <f t="shared" si="12"/>
        <v>50</v>
      </c>
      <c r="L72" s="759"/>
      <c r="M72" s="759">
        <f t="shared" si="12"/>
        <v>50</v>
      </c>
      <c r="N72" s="759"/>
      <c r="O72" s="759">
        <f t="shared" si="12"/>
        <v>3400</v>
      </c>
      <c r="P72" s="759"/>
      <c r="Q72" s="759">
        <f t="shared" si="12"/>
        <v>900</v>
      </c>
      <c r="R72" s="759"/>
      <c r="S72" s="408">
        <f t="shared" si="12"/>
        <v>900</v>
      </c>
      <c r="T72" s="790"/>
      <c r="U72" s="523">
        <f>SUM(U69:U71)</f>
        <v>5300</v>
      </c>
    </row>
    <row r="73" spans="1:21" ht="42" customHeight="1" thickBot="1" x14ac:dyDescent="0.25">
      <c r="A73" s="803" t="s">
        <v>145</v>
      </c>
      <c r="B73" s="804"/>
      <c r="C73" s="804"/>
      <c r="D73" s="804"/>
      <c r="E73" s="804"/>
      <c r="F73" s="804"/>
      <c r="G73" s="804"/>
      <c r="H73" s="804"/>
      <c r="I73" s="804"/>
      <c r="J73" s="804"/>
      <c r="K73" s="804"/>
      <c r="L73" s="804"/>
      <c r="M73" s="804"/>
      <c r="N73" s="804"/>
      <c r="O73" s="804"/>
      <c r="P73" s="804"/>
      <c r="Q73" s="804"/>
      <c r="R73" s="804"/>
      <c r="S73" s="805"/>
      <c r="T73" s="732"/>
      <c r="U73" s="524"/>
    </row>
    <row r="74" spans="1:21" ht="33" customHeight="1" thickBot="1" x14ac:dyDescent="0.25">
      <c r="A74" s="574" t="s">
        <v>158</v>
      </c>
      <c r="B74" s="575"/>
      <c r="C74" s="576"/>
      <c r="D74" s="576"/>
      <c r="E74" s="575"/>
      <c r="F74" s="575"/>
      <c r="G74" s="682">
        <v>0</v>
      </c>
      <c r="H74" s="585" t="s">
        <v>166</v>
      </c>
      <c r="I74" s="644"/>
      <c r="J74" s="577" t="s">
        <v>166</v>
      </c>
      <c r="K74" s="644"/>
      <c r="L74" s="577" t="s">
        <v>166</v>
      </c>
      <c r="M74" s="699"/>
      <c r="N74" s="585" t="s">
        <v>166</v>
      </c>
      <c r="O74" s="128"/>
      <c r="P74" s="128"/>
      <c r="Q74" s="715"/>
      <c r="R74" s="585" t="s">
        <v>166</v>
      </c>
      <c r="S74" s="653"/>
      <c r="T74" s="732"/>
      <c r="U74" s="660"/>
    </row>
    <row r="75" spans="1:21" ht="32" customHeight="1" thickBot="1" x14ac:dyDescent="0.25">
      <c r="A75" s="578" t="s">
        <v>146</v>
      </c>
      <c r="B75" s="579"/>
      <c r="C75" s="580"/>
      <c r="D75" s="580"/>
      <c r="E75" s="579"/>
      <c r="F75" s="579"/>
      <c r="G75" s="682"/>
      <c r="H75" s="581" t="s">
        <v>166</v>
      </c>
      <c r="I75" s="632"/>
      <c r="J75" s="581" t="s">
        <v>166</v>
      </c>
      <c r="K75" s="632"/>
      <c r="L75" s="581" t="s">
        <v>166</v>
      </c>
      <c r="M75" s="700"/>
      <c r="N75" s="581" t="s">
        <v>166</v>
      </c>
      <c r="O75" s="717">
        <v>50</v>
      </c>
      <c r="P75" s="717"/>
      <c r="Q75" s="716">
        <v>50</v>
      </c>
      <c r="R75" s="581" t="s">
        <v>166</v>
      </c>
      <c r="S75" s="654">
        <v>50</v>
      </c>
      <c r="T75" s="731"/>
      <c r="U75" s="660">
        <f>SUM(B75:S75)</f>
        <v>150</v>
      </c>
    </row>
    <row r="76" spans="1:21" ht="43" customHeight="1" thickBot="1" x14ac:dyDescent="0.25">
      <c r="A76" s="404" t="s">
        <v>137</v>
      </c>
      <c r="B76" s="537">
        <f>SUM(B74:B75)</f>
        <v>0</v>
      </c>
      <c r="C76" s="545">
        <f t="shared" ref="C76:M76" si="13">SUM(C74:C75)</f>
        <v>0</v>
      </c>
      <c r="D76" s="545">
        <f t="shared" si="13"/>
        <v>0</v>
      </c>
      <c r="E76" s="537">
        <f t="shared" si="13"/>
        <v>0</v>
      </c>
      <c r="F76" s="537">
        <f t="shared" si="13"/>
        <v>0</v>
      </c>
      <c r="G76" s="757">
        <f t="shared" si="13"/>
        <v>0</v>
      </c>
      <c r="H76" s="757"/>
      <c r="I76" s="757">
        <f t="shared" si="13"/>
        <v>0</v>
      </c>
      <c r="J76" s="757"/>
      <c r="K76" s="757">
        <f t="shared" si="13"/>
        <v>0</v>
      </c>
      <c r="L76" s="757"/>
      <c r="M76" s="757">
        <f t="shared" si="13"/>
        <v>0</v>
      </c>
      <c r="N76" s="757"/>
      <c r="O76" s="757">
        <f>SUM(O74:O75)</f>
        <v>50</v>
      </c>
      <c r="P76" s="757"/>
      <c r="Q76" s="757">
        <f>SUM(Q74:Q75)</f>
        <v>50</v>
      </c>
      <c r="R76" s="757"/>
      <c r="S76" s="381">
        <f>SUM(S74:S75)</f>
        <v>50</v>
      </c>
      <c r="T76" s="791"/>
      <c r="U76" s="523">
        <f>SUM(U74:U75)</f>
        <v>150</v>
      </c>
    </row>
    <row r="77" spans="1:21" ht="50" customHeight="1" thickTop="1" thickBot="1" x14ac:dyDescent="0.25">
      <c r="A77" s="462" t="s">
        <v>148</v>
      </c>
      <c r="B77" s="538">
        <f>SUM(B8+B25+B37+B44+B53+B67+B76)</f>
        <v>0</v>
      </c>
      <c r="C77" s="552">
        <f>SUM(C8+C18+C25+C37+C44++C48+C53+C58+C67+C72+C76)</f>
        <v>0</v>
      </c>
      <c r="D77" s="552">
        <f>SUM(D8+D18+D25+D37+D44++D48+D53+D58+D67+D72+D76)</f>
        <v>0</v>
      </c>
      <c r="E77" s="538">
        <f>SUM(E8+E18+E25+E37+E44++E48+E53+E58+E67+E72+E76)</f>
        <v>0</v>
      </c>
      <c r="F77" s="463">
        <f>SUM(F8+F18+F25+F37+F44++F48+F53+F58+F67+F72+F76)</f>
        <v>0</v>
      </c>
      <c r="G77" s="767">
        <f>SUM(G8+G18+G25+G37+G44++G48+G53+G58+G67+G72+G76)</f>
        <v>4700</v>
      </c>
      <c r="H77" s="767"/>
      <c r="I77" s="767">
        <f>SUM(I8+I18+I25+I37+I44++I48+I53+I58+I67+I72+I76)</f>
        <v>4494</v>
      </c>
      <c r="J77" s="767"/>
      <c r="K77" s="767">
        <f>SUM(K8+K18+K25+K37+K44++K48+K53+K58+K67+K72+K76)</f>
        <v>4548</v>
      </c>
      <c r="L77" s="767"/>
      <c r="M77" s="767">
        <f>SUM(M8+M18+M25+M37+M44++M48+M53+M58+M67+M72+M76)</f>
        <v>3758</v>
      </c>
      <c r="N77" s="767"/>
      <c r="O77" s="767">
        <f>SUM(O8+O18+O25+O37+O44++O48+O53+O67+O72+O76)</f>
        <v>15037</v>
      </c>
      <c r="P77" s="767"/>
      <c r="Q77" s="767">
        <f>SUM(Q8+Q18+Q25+Q37+Q44++Q48+Q53+Q67+Q72+Q76)</f>
        <v>4362</v>
      </c>
      <c r="R77" s="767"/>
      <c r="S77" s="463">
        <f>SUM(S8+S18+S25+S37+S44++S48+S53+S67+S72+S76)</f>
        <v>4687</v>
      </c>
      <c r="T77" s="795"/>
      <c r="U77" s="526">
        <f>SUM(B77:S77)</f>
        <v>41586</v>
      </c>
    </row>
    <row r="78" spans="1:21" ht="41" customHeight="1" thickBot="1" x14ac:dyDescent="0.25">
      <c r="A78" s="806" t="s">
        <v>149</v>
      </c>
      <c r="B78" s="807"/>
      <c r="C78" s="807"/>
      <c r="D78" s="807"/>
      <c r="E78" s="807"/>
      <c r="F78" s="807"/>
      <c r="G78" s="807"/>
      <c r="H78" s="807"/>
      <c r="I78" s="807"/>
      <c r="J78" s="807"/>
      <c r="K78" s="807"/>
      <c r="L78" s="807"/>
      <c r="M78" s="807"/>
      <c r="N78" s="807"/>
      <c r="O78" s="807"/>
      <c r="P78" s="807"/>
      <c r="Q78" s="807"/>
      <c r="R78" s="807"/>
      <c r="S78" s="808"/>
      <c r="T78" s="796"/>
      <c r="U78" s="527"/>
    </row>
    <row r="79" spans="1:21" ht="33" customHeight="1" thickBot="1" x14ac:dyDescent="0.25">
      <c r="A79" s="562" t="s">
        <v>41</v>
      </c>
      <c r="B79" s="563"/>
      <c r="C79" s="564"/>
      <c r="D79" s="564"/>
      <c r="E79" s="565"/>
      <c r="F79" s="563"/>
      <c r="G79" s="768">
        <v>4560</v>
      </c>
      <c r="H79" s="769"/>
      <c r="I79" s="768">
        <v>4561</v>
      </c>
      <c r="J79" s="769"/>
      <c r="K79" s="768">
        <v>4562</v>
      </c>
      <c r="L79" s="769"/>
      <c r="M79" s="768">
        <v>4563</v>
      </c>
      <c r="N79" s="769"/>
      <c r="O79" s="774">
        <v>15000</v>
      </c>
      <c r="P79" s="775"/>
      <c r="Q79" s="768">
        <v>5000</v>
      </c>
      <c r="R79" s="769"/>
      <c r="S79" s="655">
        <v>5000</v>
      </c>
      <c r="T79" s="746"/>
      <c r="U79" s="661">
        <f>SUM(B79:S79)</f>
        <v>43246</v>
      </c>
    </row>
    <row r="80" spans="1:21" ht="30" customHeight="1" thickBot="1" x14ac:dyDescent="0.25">
      <c r="A80" s="562" t="s">
        <v>82</v>
      </c>
      <c r="B80" s="567"/>
      <c r="C80" s="568"/>
      <c r="D80" s="568"/>
      <c r="E80" s="566"/>
      <c r="F80" s="567"/>
      <c r="G80" s="768"/>
      <c r="H80" s="769"/>
      <c r="I80" s="768"/>
      <c r="J80" s="769"/>
      <c r="K80" s="768"/>
      <c r="L80" s="769"/>
      <c r="M80" s="768"/>
      <c r="N80" s="769"/>
      <c r="O80" s="774"/>
      <c r="P80" s="775"/>
      <c r="Q80" s="768"/>
      <c r="R80" s="769"/>
      <c r="S80" s="656"/>
      <c r="T80" s="747"/>
      <c r="U80" s="661">
        <f>SUM(B80:S80)</f>
        <v>0</v>
      </c>
    </row>
    <row r="81" spans="1:21" ht="30" customHeight="1" thickBot="1" x14ac:dyDescent="0.25">
      <c r="A81" s="562" t="s">
        <v>35</v>
      </c>
      <c r="B81" s="567"/>
      <c r="C81" s="568"/>
      <c r="D81" s="568"/>
      <c r="E81" s="566"/>
      <c r="F81" s="567"/>
      <c r="G81" s="768"/>
      <c r="H81" s="769"/>
      <c r="I81" s="768"/>
      <c r="J81" s="769"/>
      <c r="K81" s="768"/>
      <c r="L81" s="769"/>
      <c r="M81" s="768"/>
      <c r="N81" s="769"/>
      <c r="O81" s="774"/>
      <c r="P81" s="775"/>
      <c r="Q81" s="768"/>
      <c r="R81" s="769"/>
      <c r="S81" s="656"/>
      <c r="T81" s="747"/>
      <c r="U81" s="662"/>
    </row>
    <row r="82" spans="1:21" ht="32" customHeight="1" thickBot="1" x14ac:dyDescent="0.25">
      <c r="A82" s="562" t="s">
        <v>36</v>
      </c>
      <c r="B82" s="563"/>
      <c r="C82" s="564"/>
      <c r="D82" s="564"/>
      <c r="E82" s="565"/>
      <c r="F82" s="563"/>
      <c r="G82" s="824">
        <v>150</v>
      </c>
      <c r="H82" s="825"/>
      <c r="I82" s="768"/>
      <c r="J82" s="769"/>
      <c r="K82" s="768"/>
      <c r="L82" s="769"/>
      <c r="M82" s="768"/>
      <c r="N82" s="769"/>
      <c r="O82" s="774"/>
      <c r="P82" s="775"/>
      <c r="Q82" s="768"/>
      <c r="R82" s="769"/>
      <c r="S82" s="655"/>
      <c r="T82" s="746"/>
      <c r="U82" s="661">
        <f>SUM(B82:S82)</f>
        <v>150</v>
      </c>
    </row>
    <row r="83" spans="1:21" ht="30" customHeight="1" thickBot="1" x14ac:dyDescent="0.25">
      <c r="A83" s="570" t="s">
        <v>169</v>
      </c>
      <c r="B83" s="571"/>
      <c r="C83" s="572"/>
      <c r="D83" s="572"/>
      <c r="E83" s="571"/>
      <c r="F83" s="571"/>
      <c r="G83" s="826"/>
      <c r="H83" s="827"/>
      <c r="I83" s="770"/>
      <c r="J83" s="771"/>
      <c r="K83" s="770"/>
      <c r="L83" s="771"/>
      <c r="M83" s="770"/>
      <c r="N83" s="771"/>
      <c r="O83" s="776"/>
      <c r="P83" s="777"/>
      <c r="Q83" s="770"/>
      <c r="R83" s="771"/>
      <c r="S83" s="657"/>
      <c r="T83" s="746"/>
      <c r="U83" s="661">
        <f>SUM(B83:S83)</f>
        <v>0</v>
      </c>
    </row>
    <row r="84" spans="1:21" ht="61" customHeight="1" thickBot="1" x14ac:dyDescent="0.25">
      <c r="A84" s="521" t="s">
        <v>152</v>
      </c>
      <c r="B84" s="536">
        <f t="shared" ref="B84:G84" si="14">SUM(B79:B83)</f>
        <v>0</v>
      </c>
      <c r="C84" s="553">
        <f t="shared" si="14"/>
        <v>0</v>
      </c>
      <c r="D84" s="553">
        <f t="shared" si="14"/>
        <v>0</v>
      </c>
      <c r="E84" s="536">
        <f t="shared" si="14"/>
        <v>0</v>
      </c>
      <c r="F84" s="536">
        <f t="shared" si="14"/>
        <v>0</v>
      </c>
      <c r="G84" s="830">
        <f t="shared" si="14"/>
        <v>4710</v>
      </c>
      <c r="H84" s="830"/>
      <c r="I84" s="764">
        <f>SUM(I79:I83)</f>
        <v>4561</v>
      </c>
      <c r="J84" s="764"/>
      <c r="K84" s="764">
        <f>SUM(K79:K83)</f>
        <v>4562</v>
      </c>
      <c r="L84" s="764"/>
      <c r="M84" s="764">
        <f>SUM(M79:M83)</f>
        <v>4563</v>
      </c>
      <c r="N84" s="764"/>
      <c r="O84" s="778">
        <f>SUM(O79:O83)</f>
        <v>15000</v>
      </c>
      <c r="P84" s="778"/>
      <c r="Q84" s="764">
        <f>SUM(Q79:Q83)</f>
        <v>5000</v>
      </c>
      <c r="R84" s="764"/>
      <c r="S84" s="522">
        <f>SUM(S79:S83)</f>
        <v>5000</v>
      </c>
      <c r="T84" s="740"/>
      <c r="U84" s="528">
        <f>SUM(B84:S84)</f>
        <v>43396</v>
      </c>
    </row>
    <row r="85" spans="1:21" s="486" customFormat="1" ht="57" customHeight="1" thickBot="1" x14ac:dyDescent="0.25">
      <c r="A85" s="557" t="s">
        <v>167</v>
      </c>
      <c r="B85" s="558"/>
      <c r="C85" s="558"/>
      <c r="D85" s="558"/>
      <c r="E85" s="558"/>
      <c r="F85" s="558"/>
      <c r="G85" s="779">
        <f>G84 - SUMIFS($G:$G, $H:$H, "Paid", $G:$G, "&gt;0")</f>
        <v>2299</v>
      </c>
      <c r="H85" s="780"/>
      <c r="I85" s="779">
        <f>I84 - SUMIFS($I:$I, $J:$J, "Paid", $I:$I, "&gt;0")</f>
        <v>4561</v>
      </c>
      <c r="J85" s="780"/>
      <c r="K85" s="779">
        <f>K84 - SUMIFS($K:$K, $L:$L, "Paid", $K:$K, "&gt;0")</f>
        <v>4562</v>
      </c>
      <c r="L85" s="780"/>
      <c r="M85" s="779">
        <f>M84 - SUMIFS($M:$M, $N:$N, "Paid", $M:$M, "&gt;0")</f>
        <v>4563</v>
      </c>
      <c r="N85" s="780"/>
      <c r="O85" s="779">
        <f>O84 - SUMIFS($O:$O, $P:$P, "Paid", $O:$O, "&gt;0")</f>
        <v>15000</v>
      </c>
      <c r="P85" s="780"/>
      <c r="Q85" s="765"/>
      <c r="R85" s="766"/>
      <c r="S85" s="555"/>
      <c r="T85" s="747"/>
      <c r="U85" s="556"/>
    </row>
    <row r="86" spans="1:21" s="486" customFormat="1" ht="53" customHeight="1" thickBot="1" x14ac:dyDescent="0.25">
      <c r="A86" s="559" t="s">
        <v>50</v>
      </c>
      <c r="B86" s="560">
        <f>(B84-B77-'[1]House DECO &amp; REPAIR 25'!$C$32)</f>
        <v>0</v>
      </c>
      <c r="C86" s="560">
        <f>(C84-C77-'[1]House DECO &amp; REPAIR 25'!$D$32)</f>
        <v>0</v>
      </c>
      <c r="D86" s="560">
        <f>(D84-D77-'[1]House DECO &amp; REPAIR 25'!$E$32)</f>
        <v>0</v>
      </c>
      <c r="E86" s="561">
        <f>(E84-E77-'[1]House DECO &amp; REPAIR 25'!$F$32)</f>
        <v>0</v>
      </c>
      <c r="F86" s="561">
        <f>(F84-F77-'[1]House DECO &amp; REPAIR 25'!$G$32)</f>
        <v>0</v>
      </c>
      <c r="G86" s="828">
        <f>SUM(G84-G77)</f>
        <v>10</v>
      </c>
      <c r="H86" s="829"/>
      <c r="I86" s="831">
        <f>(I84-I77)</f>
        <v>67</v>
      </c>
      <c r="J86" s="832"/>
      <c r="K86" s="831">
        <f>(K84-K77)</f>
        <v>14</v>
      </c>
      <c r="L86" s="832"/>
      <c r="M86" s="831">
        <f>(M84-M77)</f>
        <v>805</v>
      </c>
      <c r="N86" s="832"/>
      <c r="O86" s="772">
        <f>(O84-O77)</f>
        <v>-37</v>
      </c>
      <c r="P86" s="773"/>
      <c r="Q86" s="762">
        <f>(Q84-Q77)</f>
        <v>638</v>
      </c>
      <c r="R86" s="763"/>
      <c r="S86" s="658">
        <f>(S84-S77)</f>
        <v>313</v>
      </c>
      <c r="T86" s="747"/>
      <c r="U86" s="663">
        <f>SUM(B86:S86)</f>
        <v>1810</v>
      </c>
    </row>
    <row r="87" spans="1:21" ht="25" customHeight="1" thickTop="1" x14ac:dyDescent="0.2">
      <c r="E87" s="33"/>
      <c r="F87" s="33"/>
      <c r="G87" s="167"/>
      <c r="H87" s="33"/>
      <c r="I87" s="33"/>
      <c r="J87" s="33"/>
      <c r="K87" s="33"/>
      <c r="L87" s="33"/>
      <c r="M87" s="33"/>
      <c r="N87" s="33"/>
      <c r="O87" s="33"/>
      <c r="P87" s="36"/>
      <c r="Q87" s="797" t="s">
        <v>63</v>
      </c>
      <c r="R87" s="798"/>
      <c r="S87" s="798"/>
      <c r="T87" s="799"/>
      <c r="U87" s="816">
        <f>SUM(U4:U86)</f>
        <v>213280</v>
      </c>
    </row>
    <row r="88" spans="1:21" ht="25" customHeight="1" thickBot="1" x14ac:dyDescent="0.25">
      <c r="E88" s="34"/>
      <c r="F88" s="34"/>
      <c r="G88" s="168"/>
      <c r="H88" s="34"/>
      <c r="I88" s="34"/>
      <c r="J88" s="34"/>
      <c r="K88" s="34"/>
      <c r="L88" s="34"/>
      <c r="M88" s="34"/>
      <c r="N88" s="34"/>
      <c r="O88" s="34"/>
      <c r="P88" s="35"/>
      <c r="Q88" s="800"/>
      <c r="R88" s="801"/>
      <c r="S88" s="801"/>
      <c r="T88" s="802"/>
      <c r="U88" s="817"/>
    </row>
    <row r="89" spans="1:21" ht="29" customHeight="1" thickBot="1" x14ac:dyDescent="0.25">
      <c r="E89" s="37"/>
      <c r="F89" s="37"/>
      <c r="G89" s="554"/>
      <c r="H89" s="37"/>
      <c r="I89" s="37"/>
      <c r="J89" s="37"/>
      <c r="K89" s="37"/>
      <c r="L89" s="37"/>
      <c r="M89" s="37"/>
      <c r="N89" s="37"/>
      <c r="O89" s="37"/>
      <c r="P89" s="38"/>
      <c r="Q89" s="783" t="s">
        <v>64</v>
      </c>
      <c r="R89" s="784"/>
      <c r="S89" s="784"/>
      <c r="T89" s="785"/>
      <c r="U89" s="487">
        <f>SUM(U72+U76)</f>
        <v>5450</v>
      </c>
    </row>
    <row r="90" spans="1:21" ht="42" customHeight="1" thickBot="1" x14ac:dyDescent="0.25">
      <c r="E90" s="39"/>
      <c r="F90" s="39"/>
      <c r="G90" s="170"/>
      <c r="H90" s="39"/>
      <c r="I90" s="39"/>
      <c r="J90" s="39"/>
      <c r="K90" s="39"/>
      <c r="L90" s="39"/>
      <c r="M90" s="39"/>
      <c r="N90" s="39"/>
      <c r="O90" s="39"/>
      <c r="P90" s="40"/>
      <c r="Q90" s="786" t="s">
        <v>42</v>
      </c>
      <c r="R90" s="787"/>
      <c r="S90" s="787"/>
      <c r="T90" s="788"/>
      <c r="U90" s="529">
        <f>SUM(B86:S86)</f>
        <v>1810</v>
      </c>
    </row>
    <row r="91" spans="1:21" ht="35" customHeight="1" thickTop="1" x14ac:dyDescent="0.2"/>
    <row r="92" spans="1:21" ht="31" customHeight="1" x14ac:dyDescent="0.2"/>
  </sheetData>
  <mergeCells count="145">
    <mergeCell ref="K84:L84"/>
    <mergeCell ref="M85:N85"/>
    <mergeCell ref="K86:L86"/>
    <mergeCell ref="K85:L85"/>
    <mergeCell ref="K83:L83"/>
    <mergeCell ref="K82:L82"/>
    <mergeCell ref="K81:L81"/>
    <mergeCell ref="K80:L80"/>
    <mergeCell ref="K79:L79"/>
    <mergeCell ref="K1:L1"/>
    <mergeCell ref="M79:N79"/>
    <mergeCell ref="M80:N80"/>
    <mergeCell ref="M81:N81"/>
    <mergeCell ref="M82:N82"/>
    <mergeCell ref="K8:L8"/>
    <mergeCell ref="K18:L18"/>
    <mergeCell ref="K25:L25"/>
    <mergeCell ref="K37:L37"/>
    <mergeCell ref="K44:L44"/>
    <mergeCell ref="K48:L48"/>
    <mergeCell ref="K53:L53"/>
    <mergeCell ref="K58:L58"/>
    <mergeCell ref="K67:L67"/>
    <mergeCell ref="K72:L72"/>
    <mergeCell ref="K76:L76"/>
    <mergeCell ref="M83:N83"/>
    <mergeCell ref="M84:N84"/>
    <mergeCell ref="I80:J80"/>
    <mergeCell ref="I79:J79"/>
    <mergeCell ref="I77:J77"/>
    <mergeCell ref="Q2:S2"/>
    <mergeCell ref="A2:M2"/>
    <mergeCell ref="G37:H37"/>
    <mergeCell ref="G25:H25"/>
    <mergeCell ref="G18:H18"/>
    <mergeCell ref="G81:H81"/>
    <mergeCell ref="I44:J44"/>
    <mergeCell ref="I48:J48"/>
    <mergeCell ref="I53:J53"/>
    <mergeCell ref="I58:J58"/>
    <mergeCell ref="I67:J67"/>
    <mergeCell ref="I72:J72"/>
    <mergeCell ref="K77:L77"/>
    <mergeCell ref="U87:U88"/>
    <mergeCell ref="A9:S9"/>
    <mergeCell ref="A26:S26"/>
    <mergeCell ref="A38:S38"/>
    <mergeCell ref="A45:S45"/>
    <mergeCell ref="A19:S19"/>
    <mergeCell ref="A49:S49"/>
    <mergeCell ref="A68:S68"/>
    <mergeCell ref="G79:H79"/>
    <mergeCell ref="G80:H80"/>
    <mergeCell ref="G82:H82"/>
    <mergeCell ref="G83:H83"/>
    <mergeCell ref="G86:H86"/>
    <mergeCell ref="G85:H85"/>
    <mergeCell ref="G84:H84"/>
    <mergeCell ref="I76:J76"/>
    <mergeCell ref="G67:H67"/>
    <mergeCell ref="G58:H58"/>
    <mergeCell ref="G53:H53"/>
    <mergeCell ref="G48:H48"/>
    <mergeCell ref="I18:J18"/>
    <mergeCell ref="I25:J25"/>
    <mergeCell ref="I37:J37"/>
    <mergeCell ref="I84:J84"/>
    <mergeCell ref="Q89:T89"/>
    <mergeCell ref="Q90:T90"/>
    <mergeCell ref="T1:T76"/>
    <mergeCell ref="A3:S3"/>
    <mergeCell ref="T77:T86"/>
    <mergeCell ref="Q87:T88"/>
    <mergeCell ref="A73:S73"/>
    <mergeCell ref="A54:S54"/>
    <mergeCell ref="A78:S78"/>
    <mergeCell ref="A59:S59"/>
    <mergeCell ref="G1:H1"/>
    <mergeCell ref="G8:H8"/>
    <mergeCell ref="G77:H77"/>
    <mergeCell ref="G76:H76"/>
    <mergeCell ref="G72:H72"/>
    <mergeCell ref="M76:N76"/>
    <mergeCell ref="G44:H44"/>
    <mergeCell ref="I1:J1"/>
    <mergeCell ref="I8:J8"/>
    <mergeCell ref="I85:J85"/>
    <mergeCell ref="I86:J86"/>
    <mergeCell ref="I83:J83"/>
    <mergeCell ref="I82:J82"/>
    <mergeCell ref="I81:J81"/>
    <mergeCell ref="O37:P37"/>
    <mergeCell ref="O44:P44"/>
    <mergeCell ref="O48:P48"/>
    <mergeCell ref="O53:P53"/>
    <mergeCell ref="O58:P58"/>
    <mergeCell ref="M1:N1"/>
    <mergeCell ref="O1:P1"/>
    <mergeCell ref="O8:P8"/>
    <mergeCell ref="O18:P18"/>
    <mergeCell ref="O25:P25"/>
    <mergeCell ref="M44:N44"/>
    <mergeCell ref="M37:N37"/>
    <mergeCell ref="M25:N25"/>
    <mergeCell ref="M18:N18"/>
    <mergeCell ref="M8:N8"/>
    <mergeCell ref="M58:N58"/>
    <mergeCell ref="M53:N53"/>
    <mergeCell ref="M48:N48"/>
    <mergeCell ref="O86:P86"/>
    <mergeCell ref="O77:P77"/>
    <mergeCell ref="M77:N77"/>
    <mergeCell ref="O79:P79"/>
    <mergeCell ref="O80:P80"/>
    <mergeCell ref="O81:P81"/>
    <mergeCell ref="O82:P82"/>
    <mergeCell ref="O83:P83"/>
    <mergeCell ref="O67:P67"/>
    <mergeCell ref="O72:P72"/>
    <mergeCell ref="O76:P76"/>
    <mergeCell ref="O84:P84"/>
    <mergeCell ref="O85:P85"/>
    <mergeCell ref="M72:N72"/>
    <mergeCell ref="M67:N67"/>
    <mergeCell ref="M86:N86"/>
    <mergeCell ref="Q86:R86"/>
    <mergeCell ref="Q84:R84"/>
    <mergeCell ref="Q85:R85"/>
    <mergeCell ref="Q77:R77"/>
    <mergeCell ref="Q76:R76"/>
    <mergeCell ref="Q79:R79"/>
    <mergeCell ref="Q80:R80"/>
    <mergeCell ref="Q81:R81"/>
    <mergeCell ref="Q82:R82"/>
    <mergeCell ref="Q83:R83"/>
    <mergeCell ref="Q44:R44"/>
    <mergeCell ref="Q37:R37"/>
    <mergeCell ref="Q25:R25"/>
    <mergeCell ref="Q18:R18"/>
    <mergeCell ref="Q8:R8"/>
    <mergeCell ref="Q72:R72"/>
    <mergeCell ref="Q67:R67"/>
    <mergeCell ref="Q58:R58"/>
    <mergeCell ref="Q53:R53"/>
    <mergeCell ref="Q48:R48"/>
  </mergeCells>
  <conditionalFormatting sqref="H3:H80 H1 H82:H1048576 J79 J85 L79 L85 N79 N85 P85">
    <cfRule type="containsText" dxfId="29" priority="33" stopIfTrue="1" operator="containsText" text="Not Paid">
      <formula>NOT(ISERROR(SEARCH("Not Paid",H1)))</formula>
    </cfRule>
  </conditionalFormatting>
  <conditionalFormatting sqref="H3:H1048576 H1 N2:N76">
    <cfRule type="beginsWith" dxfId="28" priority="30" operator="beginsWith" text="Paid">
      <formula>LEFT(H1,LEN("Paid"))="Paid"</formula>
    </cfRule>
  </conditionalFormatting>
  <conditionalFormatting sqref="H75">
    <cfRule type="containsText" dxfId="27" priority="31" operator="containsText" text="Paid">
      <formula>NOT(ISERROR(SEARCH("Paid",H75)))</formula>
    </cfRule>
    <cfRule type="containsText" dxfId="26" priority="29" operator="containsText" text="Not Paid">
      <formula>NOT(ISERROR(SEARCH("Not Paid",H75)))</formula>
    </cfRule>
  </conditionalFormatting>
  <conditionalFormatting sqref="J1 J3:J1048576">
    <cfRule type="beginsWith" dxfId="25" priority="28" operator="beginsWith" text="Paid">
      <formula>LEFT(J1,LEN("Paid"))="Paid"</formula>
    </cfRule>
  </conditionalFormatting>
  <conditionalFormatting sqref="L1:L78 R39:R43 L80:L84 L86:L1048576">
    <cfRule type="containsText" dxfId="24" priority="27" operator="containsText" text="Not Paid">
      <formula>NOT(ISERROR(SEARCH("Not Paid",L1)))</formula>
    </cfRule>
  </conditionalFormatting>
  <conditionalFormatting sqref="L1:L1048576 R39:R43">
    <cfRule type="beginsWith" dxfId="23" priority="26" operator="beginsWith" text="Paid">
      <formula>LEFT(L1,LEN("Paid"))="Paid"</formula>
    </cfRule>
  </conditionalFormatting>
  <conditionalFormatting sqref="N2:N76 J1 J3:J7 J9:J17 J19:J24 J26:J36 J38:J43 J45:J47 J49:J52 J54:J57 J59:J66 J68:J71 J73:J75 J78 J87:J1048576">
    <cfRule type="containsText" dxfId="22" priority="32" operator="containsText" text="Not Paid">
      <formula>NOT(ISERROR(SEARCH("Not Paid",J1)))</formula>
    </cfRule>
  </conditionalFormatting>
  <conditionalFormatting sqref="N78 N80:N84 N86:N1048576">
    <cfRule type="containsText" dxfId="21" priority="25" operator="containsText" text="Not Paid">
      <formula>NOT(ISERROR(SEARCH("Not Paid",N78)))</formula>
    </cfRule>
  </conditionalFormatting>
  <conditionalFormatting sqref="N78:N1048576 P85">
    <cfRule type="beginsWith" dxfId="20" priority="24" operator="beginsWith" text="Paid">
      <formula>LEFT(N78,LEN("Paid"))="Paid"</formula>
    </cfRule>
  </conditionalFormatting>
  <conditionalFormatting sqref="R4:R7">
    <cfRule type="beginsWith" dxfId="19" priority="11" operator="beginsWith" text="Paid">
      <formula>LEFT(R4,LEN("Paid"))="Paid"</formula>
    </cfRule>
    <cfRule type="containsText" dxfId="18" priority="22" operator="containsText" text="Not Paid">
      <formula>NOT(ISERROR(SEARCH("Not Paid",R4)))</formula>
    </cfRule>
  </conditionalFormatting>
  <conditionalFormatting sqref="R10:R17">
    <cfRule type="containsText" dxfId="17" priority="21" operator="containsText" text="Not Paid">
      <formula>NOT(ISERROR(SEARCH("Not Paid",R10)))</formula>
    </cfRule>
    <cfRule type="beginsWith" dxfId="16" priority="10" operator="beginsWith" text="Paid">
      <formula>LEFT(R10,LEN("Paid"))="Paid"</formula>
    </cfRule>
  </conditionalFormatting>
  <conditionalFormatting sqref="R20:R24">
    <cfRule type="beginsWith" dxfId="15" priority="9" operator="beginsWith" text="Paid">
      <formula>LEFT(R20,LEN("Paid"))="Paid"</formula>
    </cfRule>
    <cfRule type="containsText" dxfId="14" priority="20" operator="containsText" text="Not Paid">
      <formula>NOT(ISERROR(SEARCH("Not Paid",R20)))</formula>
    </cfRule>
  </conditionalFormatting>
  <conditionalFormatting sqref="R27:R36">
    <cfRule type="beginsWith" dxfId="13" priority="8" operator="beginsWith" text="Paid">
      <formula>LEFT(R27,LEN("Paid"))="Paid"</formula>
    </cfRule>
    <cfRule type="containsText" dxfId="12" priority="19" operator="containsText" text="Not Paid">
      <formula>NOT(ISERROR(SEARCH("Not Paid",R27)))</formula>
    </cfRule>
  </conditionalFormatting>
  <conditionalFormatting sqref="R46:R47">
    <cfRule type="containsText" dxfId="11" priority="17" operator="containsText" text="Not Paid">
      <formula>NOT(ISERROR(SEARCH("Not Paid",R46)))</formula>
    </cfRule>
    <cfRule type="beginsWith" dxfId="10" priority="6" operator="beginsWith" text="Paid">
      <formula>LEFT(R46,LEN("Paid"))="Paid"</formula>
    </cfRule>
  </conditionalFormatting>
  <conditionalFormatting sqref="R50:R52">
    <cfRule type="containsText" dxfId="9" priority="16" operator="containsText" text="Not Paid">
      <formula>NOT(ISERROR(SEARCH("Not Paid",R50)))</formula>
    </cfRule>
    <cfRule type="beginsWith" dxfId="8" priority="5" operator="beginsWith" text="Paid">
      <formula>LEFT(R50,LEN("Paid"))="Paid"</formula>
    </cfRule>
  </conditionalFormatting>
  <conditionalFormatting sqref="R55:R57">
    <cfRule type="containsText" dxfId="7" priority="15" operator="containsText" text="Not Paid">
      <formula>NOT(ISERROR(SEARCH("Not Paid",R55)))</formula>
    </cfRule>
    <cfRule type="beginsWith" dxfId="6" priority="4" operator="beginsWith" text="Paid">
      <formula>LEFT(R55,LEN("Paid"))="Paid"</formula>
    </cfRule>
  </conditionalFormatting>
  <conditionalFormatting sqref="R60:R66">
    <cfRule type="containsText" dxfId="5" priority="14" operator="containsText" text="Not Paid">
      <formula>NOT(ISERROR(SEARCH("Not Paid",R60)))</formula>
    </cfRule>
    <cfRule type="beginsWith" dxfId="4" priority="3" operator="beginsWith" text="Paid">
      <formula>LEFT(R60,LEN("Paid"))="Paid"</formula>
    </cfRule>
  </conditionalFormatting>
  <conditionalFormatting sqref="R69:R71">
    <cfRule type="containsText" dxfId="3" priority="13" operator="containsText" text="Not Paid">
      <formula>NOT(ISERROR(SEARCH("Not Paid",R69)))</formula>
    </cfRule>
    <cfRule type="beginsWith" dxfId="2" priority="2" operator="beginsWith" text="Paid">
      <formula>LEFT(R69,LEN("Paid"))="Paid"</formula>
    </cfRule>
  </conditionalFormatting>
  <conditionalFormatting sqref="R74:R75">
    <cfRule type="containsText" dxfId="1" priority="12" operator="containsText" text="Not Paid">
      <formula>NOT(ISERROR(SEARCH("Not Paid",R74)))</formula>
    </cfRule>
    <cfRule type="beginsWith" dxfId="0" priority="1" operator="beginsWith" text="Paid">
      <formula>LEFT(R74,LEN("Paid"))="Paid"</formula>
    </cfRule>
  </conditionalFormatting>
  <dataValidations count="1">
    <dataValidation type="list" allowBlank="1" showInputMessage="1" showErrorMessage="1" sqref="H74:H75 H4:H7 H10:H17 H20:H24 H27:H36 H46:H47 H50:H52 H55:H57 H60:H66 H69:H71 J4:J7 J10:J17 J20:J24 J27:J36 J46:J47 J50:J52 J55:J57 J60:J66 J69:J71 J74:J75 L4:L7 L10:L17 L20:L24 L27:L36 L46:L47 L50:L52 L55:L57 L60:L66 L69:L71 L74:L75 N4:N7 N10:N17 N20:N24 N27:N36 N46:N47 N50:N52 N55:N57 N60:N66 N69:N71 N74:N75 P4:P7 P10:P17 P20:P24 P27:P36 P46:P47 P50:P52 P55:P57 P60:P66 P69:P71 P74:P75 R4:R7 R10:R17 R20:R24 R27:R36 R46:R47 R50:R52 R55:R57 R60:R66 R69:R71 R74:R75 R39:R43 P39:P43 N39:N43 L39:L43 J39:J43 H39:H43" xr:uid="{73E9DF45-5DB0-A344-B7ED-37F8FD3E3BDA}">
      <formula1>"Paid,Not Paid,N/A"</formula1>
    </dataValidation>
  </dataValidations>
  <pageMargins left="0.7" right="0.7" top="0.75" bottom="0.75" header="0" footer="0"/>
  <pageSetup paperSize="9" orientation="portrait"/>
  <ignoredErrors>
    <ignoredError sqref="K85" 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0FCC-6184-AE47-AD57-7641C3ACC964}">
  <sheetPr>
    <tabColor rgb="FF002060"/>
  </sheetPr>
  <dimension ref="A1:O86"/>
  <sheetViews>
    <sheetView topLeftCell="A38" zoomScale="75" zoomScaleNormal="75" workbookViewId="0">
      <selection activeCell="M51" sqref="M51"/>
    </sheetView>
  </sheetViews>
  <sheetFormatPr baseColWidth="10" defaultColWidth="11.28515625" defaultRowHeight="25" customHeight="1" x14ac:dyDescent="0.2"/>
  <cols>
    <col min="1" max="1" width="23.140625" style="56" bestFit="1" customWidth="1"/>
    <col min="2" max="2" width="18.7109375" style="10" customWidth="1"/>
    <col min="3" max="3" width="16" style="10" customWidth="1"/>
    <col min="4" max="4" width="15.42578125" style="10" customWidth="1"/>
    <col min="5" max="6" width="16.140625" style="10" customWidth="1"/>
    <col min="7" max="7" width="20" style="22" customWidth="1"/>
    <col min="8" max="8" width="17.5703125" style="10" customWidth="1"/>
    <col min="9" max="9" width="16.140625" style="10" customWidth="1"/>
    <col min="10" max="10" width="17.7109375" style="10" customWidth="1"/>
    <col min="11" max="11" width="17.7109375" style="22" customWidth="1"/>
    <col min="12" max="13" width="16.140625" style="10" customWidth="1"/>
    <col min="14" max="14" width="9.7109375" style="10" customWidth="1"/>
    <col min="15" max="15" width="26" style="10" customWidth="1"/>
    <col min="16" max="16" width="27.85546875" style="10" customWidth="1"/>
    <col min="17" max="26" width="10.5703125" style="10" customWidth="1"/>
    <col min="27" max="16384" width="11.28515625" style="10"/>
  </cols>
  <sheetData>
    <row r="1" spans="1:15" ht="44" customHeight="1" thickTop="1" thickBot="1" x14ac:dyDescent="0.25">
      <c r="A1" s="467" t="s">
        <v>159</v>
      </c>
      <c r="B1" s="468" t="s">
        <v>6</v>
      </c>
      <c r="C1" s="468" t="s">
        <v>7</v>
      </c>
      <c r="D1" s="469" t="s">
        <v>8</v>
      </c>
      <c r="E1" s="470" t="s">
        <v>9</v>
      </c>
      <c r="F1" s="126" t="s">
        <v>10</v>
      </c>
      <c r="G1" s="471" t="s">
        <v>2</v>
      </c>
      <c r="H1" s="126" t="s">
        <v>60</v>
      </c>
      <c r="I1" s="126" t="s">
        <v>3</v>
      </c>
      <c r="J1" s="126" t="s">
        <v>61</v>
      </c>
      <c r="K1" s="126" t="s">
        <v>4</v>
      </c>
      <c r="L1" s="126" t="s">
        <v>62</v>
      </c>
      <c r="M1" s="126" t="s">
        <v>5</v>
      </c>
      <c r="N1" s="730"/>
      <c r="O1" s="472" t="s">
        <v>151</v>
      </c>
    </row>
    <row r="2" spans="1:15" ht="29" customHeight="1" thickBot="1" x14ac:dyDescent="0.25">
      <c r="A2" s="474"/>
      <c r="B2" s="475"/>
      <c r="C2" s="475"/>
      <c r="D2" s="476"/>
      <c r="E2" s="476"/>
      <c r="F2" s="476"/>
      <c r="G2" s="477"/>
      <c r="H2" s="476"/>
      <c r="I2" s="476"/>
      <c r="J2" s="476"/>
      <c r="K2" s="473"/>
      <c r="L2" s="476"/>
      <c r="M2" s="476"/>
      <c r="N2" s="789"/>
      <c r="O2" s="478"/>
    </row>
    <row r="3" spans="1:15" ht="45" customHeight="1" thickBot="1" x14ac:dyDescent="0.25">
      <c r="A3" s="792" t="s">
        <v>139</v>
      </c>
      <c r="B3" s="793"/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4"/>
      <c r="N3" s="731"/>
      <c r="O3" s="413"/>
    </row>
    <row r="4" spans="1:15" ht="32" customHeight="1" thickBot="1" x14ac:dyDescent="0.25">
      <c r="A4" s="421" t="s">
        <v>11</v>
      </c>
      <c r="B4" s="422">
        <v>1110</v>
      </c>
      <c r="C4" s="422">
        <v>1110</v>
      </c>
      <c r="D4" s="422">
        <v>1110</v>
      </c>
      <c r="E4" s="422">
        <v>1110</v>
      </c>
      <c r="F4" s="422">
        <v>1110</v>
      </c>
      <c r="G4" s="422">
        <v>1110</v>
      </c>
      <c r="H4" s="422">
        <v>1110</v>
      </c>
      <c r="I4" s="422">
        <v>1110</v>
      </c>
      <c r="J4" s="422">
        <v>1110</v>
      </c>
      <c r="K4" s="131">
        <v>1110</v>
      </c>
      <c r="L4" s="425">
        <v>1175</v>
      </c>
      <c r="M4" s="425">
        <v>1175</v>
      </c>
      <c r="N4" s="731"/>
      <c r="O4" s="427">
        <f t="shared" ref="O4:O16" si="0">SUM(B4:M4)</f>
        <v>13450</v>
      </c>
    </row>
    <row r="5" spans="1:15" ht="31" customHeight="1" thickBot="1" x14ac:dyDescent="0.25">
      <c r="A5" s="421" t="s">
        <v>110</v>
      </c>
      <c r="B5" s="422">
        <v>825</v>
      </c>
      <c r="C5" s="422">
        <v>825</v>
      </c>
      <c r="D5" s="422">
        <v>825</v>
      </c>
      <c r="E5" s="422">
        <v>825</v>
      </c>
      <c r="F5" s="422">
        <v>825</v>
      </c>
      <c r="G5" s="422">
        <v>825</v>
      </c>
      <c r="H5" s="422">
        <v>825</v>
      </c>
      <c r="I5" s="422">
        <v>825</v>
      </c>
      <c r="J5" s="422">
        <v>825</v>
      </c>
      <c r="K5" s="131">
        <v>825</v>
      </c>
      <c r="L5" s="425">
        <v>825</v>
      </c>
      <c r="M5" s="425">
        <v>825</v>
      </c>
      <c r="N5" s="731"/>
      <c r="O5" s="427">
        <f t="shared" si="0"/>
        <v>9900</v>
      </c>
    </row>
    <row r="6" spans="1:15" ht="35" customHeight="1" thickBot="1" x14ac:dyDescent="0.25">
      <c r="A6" s="423" t="s">
        <v>13</v>
      </c>
      <c r="B6" s="424">
        <v>170</v>
      </c>
      <c r="C6" s="424">
        <v>170</v>
      </c>
      <c r="D6" s="424">
        <v>170</v>
      </c>
      <c r="E6" s="424">
        <v>170</v>
      </c>
      <c r="F6" s="424">
        <v>170</v>
      </c>
      <c r="G6" s="424">
        <v>170</v>
      </c>
      <c r="H6" s="424">
        <v>170</v>
      </c>
      <c r="I6" s="424">
        <v>170</v>
      </c>
      <c r="J6" s="424">
        <v>170</v>
      </c>
      <c r="K6" s="379">
        <v>170</v>
      </c>
      <c r="L6" s="426">
        <v>170</v>
      </c>
      <c r="M6" s="426">
        <v>170</v>
      </c>
      <c r="N6" s="731"/>
      <c r="O6" s="427">
        <f t="shared" si="0"/>
        <v>2040</v>
      </c>
    </row>
    <row r="7" spans="1:15" ht="39" customHeight="1" thickBot="1" x14ac:dyDescent="0.25">
      <c r="A7" s="380" t="s">
        <v>137</v>
      </c>
      <c r="B7" s="381">
        <f t="shared" ref="B7:M7" si="1">SUM(B4:B6)</f>
        <v>2105</v>
      </c>
      <c r="C7" s="381">
        <f t="shared" si="1"/>
        <v>2105</v>
      </c>
      <c r="D7" s="381">
        <f t="shared" si="1"/>
        <v>2105</v>
      </c>
      <c r="E7" s="381">
        <f t="shared" si="1"/>
        <v>2105</v>
      </c>
      <c r="F7" s="381">
        <f t="shared" si="1"/>
        <v>2105</v>
      </c>
      <c r="G7" s="382">
        <f t="shared" si="1"/>
        <v>2105</v>
      </c>
      <c r="H7" s="381">
        <f t="shared" si="1"/>
        <v>2105</v>
      </c>
      <c r="I7" s="381">
        <f t="shared" si="1"/>
        <v>2105</v>
      </c>
      <c r="J7" s="381">
        <f t="shared" si="1"/>
        <v>2105</v>
      </c>
      <c r="K7" s="383">
        <f t="shared" si="1"/>
        <v>2105</v>
      </c>
      <c r="L7" s="384">
        <f t="shared" si="1"/>
        <v>2170</v>
      </c>
      <c r="M7" s="384">
        <f t="shared" si="1"/>
        <v>2170</v>
      </c>
      <c r="N7" s="790"/>
      <c r="O7" s="412">
        <f>SUM(O4:O6)</f>
        <v>25390</v>
      </c>
    </row>
    <row r="8" spans="1:15" ht="41" customHeight="1" thickBot="1" x14ac:dyDescent="0.25">
      <c r="A8" s="818" t="s">
        <v>138</v>
      </c>
      <c r="B8" s="819"/>
      <c r="C8" s="819"/>
      <c r="D8" s="819"/>
      <c r="E8" s="819"/>
      <c r="F8" s="819"/>
      <c r="G8" s="819"/>
      <c r="H8" s="819"/>
      <c r="I8" s="819"/>
      <c r="J8" s="819"/>
      <c r="K8" s="819"/>
      <c r="L8" s="819"/>
      <c r="M8" s="820"/>
      <c r="N8" s="732"/>
      <c r="O8" s="414"/>
    </row>
    <row r="9" spans="1:15" ht="25" customHeight="1" thickBot="1" x14ac:dyDescent="0.25">
      <c r="A9" s="45" t="s">
        <v>14</v>
      </c>
      <c r="B9" s="155">
        <v>55</v>
      </c>
      <c r="C9" s="155">
        <v>55</v>
      </c>
      <c r="D9" s="155">
        <v>55</v>
      </c>
      <c r="E9" s="155">
        <v>55</v>
      </c>
      <c r="F9" s="155">
        <v>55</v>
      </c>
      <c r="G9" s="155">
        <v>55</v>
      </c>
      <c r="H9" s="155">
        <v>35</v>
      </c>
      <c r="I9" s="155">
        <v>35</v>
      </c>
      <c r="J9" s="155">
        <v>35</v>
      </c>
      <c r="K9" s="133">
        <v>35</v>
      </c>
      <c r="L9" s="155">
        <v>35</v>
      </c>
      <c r="M9" s="155">
        <v>35</v>
      </c>
      <c r="N9" s="731"/>
      <c r="O9" s="427">
        <f t="shared" si="0"/>
        <v>540</v>
      </c>
    </row>
    <row r="10" spans="1:15" ht="29" customHeight="1" thickBot="1" x14ac:dyDescent="0.25">
      <c r="A10" s="45" t="s">
        <v>133</v>
      </c>
      <c r="B10" s="155">
        <v>135</v>
      </c>
      <c r="C10" s="155">
        <v>135</v>
      </c>
      <c r="D10" s="155">
        <v>135</v>
      </c>
      <c r="E10" s="155">
        <v>135</v>
      </c>
      <c r="F10" s="155">
        <v>135</v>
      </c>
      <c r="G10" s="155">
        <v>135</v>
      </c>
      <c r="H10" s="155">
        <v>135</v>
      </c>
      <c r="I10" s="155">
        <v>135</v>
      </c>
      <c r="J10" s="155">
        <v>135</v>
      </c>
      <c r="K10" s="133">
        <v>160</v>
      </c>
      <c r="L10" s="155">
        <v>160</v>
      </c>
      <c r="M10" s="155">
        <v>160</v>
      </c>
      <c r="N10" s="731"/>
      <c r="O10" s="427">
        <f t="shared" si="0"/>
        <v>1695</v>
      </c>
    </row>
    <row r="11" spans="1:15" ht="25" customHeight="1" thickBot="1" x14ac:dyDescent="0.25">
      <c r="A11" s="45" t="s">
        <v>17</v>
      </c>
      <c r="B11" s="155">
        <v>70</v>
      </c>
      <c r="C11" s="155">
        <v>70</v>
      </c>
      <c r="D11" s="378">
        <v>70</v>
      </c>
      <c r="E11" s="155">
        <v>70</v>
      </c>
      <c r="F11" s="155">
        <v>70</v>
      </c>
      <c r="G11" s="155">
        <v>70</v>
      </c>
      <c r="H11" s="155">
        <v>70</v>
      </c>
      <c r="I11" s="155">
        <v>70</v>
      </c>
      <c r="J11" s="155">
        <v>70</v>
      </c>
      <c r="K11" s="133">
        <v>70</v>
      </c>
      <c r="L11" s="155">
        <v>70</v>
      </c>
      <c r="M11" s="155">
        <v>70</v>
      </c>
      <c r="N11" s="731"/>
      <c r="O11" s="427">
        <f t="shared" si="0"/>
        <v>840</v>
      </c>
    </row>
    <row r="12" spans="1:15" ht="25" customHeight="1" thickBot="1" x14ac:dyDescent="0.25">
      <c r="A12" s="45" t="s">
        <v>131</v>
      </c>
      <c r="B12" s="155">
        <v>40</v>
      </c>
      <c r="C12" s="155">
        <v>40</v>
      </c>
      <c r="D12" s="155">
        <v>40</v>
      </c>
      <c r="E12" s="155">
        <v>40</v>
      </c>
      <c r="F12" s="155">
        <v>40</v>
      </c>
      <c r="G12" s="155">
        <v>40</v>
      </c>
      <c r="H12" s="155">
        <v>40</v>
      </c>
      <c r="I12" s="155">
        <v>40</v>
      </c>
      <c r="J12" s="155">
        <v>40</v>
      </c>
      <c r="K12" s="133">
        <v>40</v>
      </c>
      <c r="L12" s="155">
        <v>40</v>
      </c>
      <c r="M12" s="155">
        <v>40</v>
      </c>
      <c r="N12" s="732"/>
      <c r="O12" s="427">
        <f t="shared" si="0"/>
        <v>480</v>
      </c>
    </row>
    <row r="13" spans="1:15" ht="25" customHeight="1" thickBot="1" x14ac:dyDescent="0.25">
      <c r="A13" s="45" t="s">
        <v>132</v>
      </c>
      <c r="B13" s="155">
        <v>15</v>
      </c>
      <c r="C13" s="155">
        <v>15</v>
      </c>
      <c r="D13" s="155">
        <v>15</v>
      </c>
      <c r="E13" s="155">
        <v>15</v>
      </c>
      <c r="F13" s="155">
        <v>15</v>
      </c>
      <c r="G13" s="155">
        <v>15</v>
      </c>
      <c r="H13" s="155">
        <v>15</v>
      </c>
      <c r="I13" s="155">
        <v>15</v>
      </c>
      <c r="J13" s="155">
        <v>15</v>
      </c>
      <c r="K13" s="133">
        <v>15</v>
      </c>
      <c r="L13" s="155">
        <v>15</v>
      </c>
      <c r="M13" s="155">
        <v>15</v>
      </c>
      <c r="N13" s="732"/>
      <c r="O13" s="427">
        <f t="shared" si="0"/>
        <v>180</v>
      </c>
    </row>
    <row r="14" spans="1:15" ht="25" customHeight="1" thickBot="1" x14ac:dyDescent="0.25">
      <c r="A14" s="45" t="s">
        <v>135</v>
      </c>
      <c r="B14" s="155">
        <v>30</v>
      </c>
      <c r="C14" s="155">
        <v>30</v>
      </c>
      <c r="D14" s="155">
        <v>30</v>
      </c>
      <c r="E14" s="155">
        <v>30</v>
      </c>
      <c r="F14" s="155">
        <v>30</v>
      </c>
      <c r="G14" s="155">
        <v>30</v>
      </c>
      <c r="H14" s="155">
        <v>30</v>
      </c>
      <c r="I14" s="155">
        <v>30</v>
      </c>
      <c r="J14" s="155">
        <v>30</v>
      </c>
      <c r="K14" s="133">
        <v>30</v>
      </c>
      <c r="L14" s="155">
        <v>30</v>
      </c>
      <c r="M14" s="155">
        <v>30</v>
      </c>
      <c r="N14" s="732"/>
      <c r="O14" s="427">
        <f t="shared" si="0"/>
        <v>360</v>
      </c>
    </row>
    <row r="15" spans="1:15" ht="25" customHeight="1" thickBot="1" x14ac:dyDescent="0.25">
      <c r="A15" s="45" t="s">
        <v>120</v>
      </c>
      <c r="B15" s="155">
        <v>25</v>
      </c>
      <c r="C15" s="155">
        <v>25</v>
      </c>
      <c r="D15" s="155">
        <v>25</v>
      </c>
      <c r="E15" s="155">
        <v>25</v>
      </c>
      <c r="F15" s="155">
        <v>25</v>
      </c>
      <c r="G15" s="155">
        <v>25</v>
      </c>
      <c r="H15" s="155">
        <v>25</v>
      </c>
      <c r="I15" s="155">
        <v>25</v>
      </c>
      <c r="J15" s="155">
        <v>25</v>
      </c>
      <c r="K15" s="133">
        <v>25</v>
      </c>
      <c r="L15" s="155">
        <v>25</v>
      </c>
      <c r="M15" s="155">
        <v>25</v>
      </c>
      <c r="N15" s="732"/>
      <c r="O15" s="427">
        <f t="shared" si="0"/>
        <v>300</v>
      </c>
    </row>
    <row r="16" spans="1:15" ht="25" customHeight="1" thickBot="1" x14ac:dyDescent="0.25">
      <c r="A16" s="45" t="s">
        <v>39</v>
      </c>
      <c r="B16" s="155">
        <v>15</v>
      </c>
      <c r="C16" s="155">
        <v>15</v>
      </c>
      <c r="D16" s="155">
        <v>15</v>
      </c>
      <c r="E16" s="155">
        <v>15</v>
      </c>
      <c r="F16" s="155">
        <v>15</v>
      </c>
      <c r="G16" s="155">
        <v>15</v>
      </c>
      <c r="H16" s="155">
        <v>15</v>
      </c>
      <c r="I16" s="155">
        <v>15</v>
      </c>
      <c r="J16" s="155">
        <v>15</v>
      </c>
      <c r="K16" s="133">
        <v>15</v>
      </c>
      <c r="L16" s="155">
        <v>15</v>
      </c>
      <c r="M16" s="155">
        <v>15</v>
      </c>
      <c r="N16" s="732"/>
      <c r="O16" s="427">
        <f t="shared" si="0"/>
        <v>180</v>
      </c>
    </row>
    <row r="17" spans="1:15" ht="41" customHeight="1" thickBot="1" x14ac:dyDescent="0.25">
      <c r="A17" s="389" t="s">
        <v>137</v>
      </c>
      <c r="B17" s="390">
        <f t="shared" ref="B17:M17" si="2">SUM(B9:B16)</f>
        <v>385</v>
      </c>
      <c r="C17" s="390">
        <f t="shared" si="2"/>
        <v>385</v>
      </c>
      <c r="D17" s="390">
        <f t="shared" si="2"/>
        <v>385</v>
      </c>
      <c r="E17" s="390">
        <f t="shared" si="2"/>
        <v>385</v>
      </c>
      <c r="F17" s="390">
        <f t="shared" si="2"/>
        <v>385</v>
      </c>
      <c r="G17" s="390">
        <f t="shared" si="2"/>
        <v>385</v>
      </c>
      <c r="H17" s="390">
        <f t="shared" si="2"/>
        <v>365</v>
      </c>
      <c r="I17" s="390">
        <f t="shared" si="2"/>
        <v>365</v>
      </c>
      <c r="J17" s="390">
        <f t="shared" si="2"/>
        <v>365</v>
      </c>
      <c r="K17" s="391">
        <f t="shared" si="2"/>
        <v>390</v>
      </c>
      <c r="L17" s="390">
        <f t="shared" si="2"/>
        <v>390</v>
      </c>
      <c r="M17" s="390">
        <f t="shared" si="2"/>
        <v>390</v>
      </c>
      <c r="N17" s="790"/>
      <c r="O17" s="412">
        <f>SUM(O9:O16)</f>
        <v>4575</v>
      </c>
    </row>
    <row r="18" spans="1:15" ht="38" customHeight="1" thickBot="1" x14ac:dyDescent="0.25">
      <c r="A18" s="809" t="s">
        <v>143</v>
      </c>
      <c r="B18" s="810"/>
      <c r="C18" s="810"/>
      <c r="D18" s="810"/>
      <c r="E18" s="810"/>
      <c r="F18" s="810"/>
      <c r="G18" s="810"/>
      <c r="H18" s="810"/>
      <c r="I18" s="810"/>
      <c r="J18" s="810"/>
      <c r="K18" s="810"/>
      <c r="L18" s="810"/>
      <c r="M18" s="811"/>
      <c r="N18" s="732"/>
      <c r="O18" s="414"/>
    </row>
    <row r="19" spans="1:15" ht="25" customHeight="1" thickBot="1" x14ac:dyDescent="0.25">
      <c r="A19" s="45" t="s">
        <v>153</v>
      </c>
      <c r="B19" s="155">
        <v>60</v>
      </c>
      <c r="C19" s="155">
        <v>60</v>
      </c>
      <c r="D19" s="155">
        <v>60</v>
      </c>
      <c r="E19" s="155">
        <v>60</v>
      </c>
      <c r="F19" s="155">
        <v>60</v>
      </c>
      <c r="G19" s="155">
        <v>60</v>
      </c>
      <c r="H19" s="155">
        <v>60</v>
      </c>
      <c r="I19" s="155">
        <v>60</v>
      </c>
      <c r="J19" s="155">
        <v>60</v>
      </c>
      <c r="K19" s="133">
        <v>60</v>
      </c>
      <c r="L19" s="155">
        <v>60</v>
      </c>
      <c r="M19" s="155">
        <v>60</v>
      </c>
      <c r="N19" s="731"/>
      <c r="O19" s="427">
        <f>SUM(B19:M19)</f>
        <v>720</v>
      </c>
    </row>
    <row r="20" spans="1:15" ht="25" customHeight="1" thickBot="1" x14ac:dyDescent="0.25">
      <c r="A20" s="45" t="s">
        <v>45</v>
      </c>
      <c r="B20" s="155">
        <v>20</v>
      </c>
      <c r="C20" s="155">
        <v>20</v>
      </c>
      <c r="D20" s="155">
        <v>20</v>
      </c>
      <c r="E20" s="155">
        <v>20</v>
      </c>
      <c r="F20" s="155">
        <v>20</v>
      </c>
      <c r="G20" s="155">
        <v>20</v>
      </c>
      <c r="H20" s="155">
        <v>20</v>
      </c>
      <c r="I20" s="155">
        <v>20</v>
      </c>
      <c r="J20" s="155">
        <v>20</v>
      </c>
      <c r="K20" s="133">
        <v>20</v>
      </c>
      <c r="L20" s="155">
        <v>20</v>
      </c>
      <c r="M20" s="155">
        <v>20</v>
      </c>
      <c r="N20" s="732"/>
      <c r="O20" s="427">
        <v>20</v>
      </c>
    </row>
    <row r="21" spans="1:15" ht="25" customHeight="1" thickBot="1" x14ac:dyDescent="0.25">
      <c r="A21" s="45" t="s">
        <v>1</v>
      </c>
      <c r="B21" s="155">
        <v>200</v>
      </c>
      <c r="C21" s="155">
        <v>200</v>
      </c>
      <c r="D21" s="155">
        <v>200</v>
      </c>
      <c r="E21" s="155">
        <v>200</v>
      </c>
      <c r="F21" s="155">
        <v>200</v>
      </c>
      <c r="G21" s="155">
        <v>200</v>
      </c>
      <c r="H21" s="155">
        <v>200</v>
      </c>
      <c r="I21" s="155">
        <v>200</v>
      </c>
      <c r="J21" s="155">
        <v>200</v>
      </c>
      <c r="K21" s="133">
        <v>300</v>
      </c>
      <c r="L21" s="155">
        <v>300</v>
      </c>
      <c r="M21" s="155">
        <v>300</v>
      </c>
      <c r="N21" s="731"/>
      <c r="O21" s="427">
        <f t="shared" ref="O21:O23" si="3">SUM(B21:M21)</f>
        <v>2700</v>
      </c>
    </row>
    <row r="22" spans="1:15" ht="25" customHeight="1" thickBot="1" x14ac:dyDescent="0.25">
      <c r="A22" s="45" t="s">
        <v>38</v>
      </c>
      <c r="B22" s="155">
        <v>70</v>
      </c>
      <c r="C22" s="155">
        <v>70</v>
      </c>
      <c r="D22" s="155">
        <v>70</v>
      </c>
      <c r="E22" s="155">
        <v>70</v>
      </c>
      <c r="F22" s="155">
        <v>70</v>
      </c>
      <c r="G22" s="155">
        <v>70</v>
      </c>
      <c r="H22" s="155">
        <v>70</v>
      </c>
      <c r="I22" s="155">
        <v>70</v>
      </c>
      <c r="J22" s="155">
        <v>70</v>
      </c>
      <c r="K22" s="133">
        <v>70</v>
      </c>
      <c r="L22" s="155">
        <v>70</v>
      </c>
      <c r="M22" s="155">
        <v>70</v>
      </c>
      <c r="N22" s="732"/>
      <c r="O22" s="427">
        <f t="shared" si="3"/>
        <v>840</v>
      </c>
    </row>
    <row r="23" spans="1:15" ht="25" customHeight="1" thickBot="1" x14ac:dyDescent="0.25">
      <c r="A23" s="45" t="s">
        <v>51</v>
      </c>
      <c r="B23" s="155">
        <v>250</v>
      </c>
      <c r="C23" s="155">
        <v>150</v>
      </c>
      <c r="D23" s="155">
        <v>100</v>
      </c>
      <c r="E23" s="155">
        <v>150</v>
      </c>
      <c r="F23" s="155">
        <v>280</v>
      </c>
      <c r="G23" s="155">
        <v>150</v>
      </c>
      <c r="H23" s="155">
        <v>150</v>
      </c>
      <c r="I23" s="155">
        <v>150</v>
      </c>
      <c r="J23" s="155">
        <v>280</v>
      </c>
      <c r="K23" s="133">
        <v>100</v>
      </c>
      <c r="L23" s="155">
        <v>100</v>
      </c>
      <c r="M23" s="155">
        <v>100</v>
      </c>
      <c r="N23" s="732"/>
      <c r="O23" s="427">
        <f t="shared" si="3"/>
        <v>1960</v>
      </c>
    </row>
    <row r="24" spans="1:15" ht="51" customHeight="1" thickBot="1" x14ac:dyDescent="0.25">
      <c r="A24" s="389" t="s">
        <v>137</v>
      </c>
      <c r="B24" s="390">
        <f t="shared" ref="B24:M24" si="4">SUM(B19:B23)</f>
        <v>600</v>
      </c>
      <c r="C24" s="390">
        <f t="shared" si="4"/>
        <v>500</v>
      </c>
      <c r="D24" s="390">
        <f t="shared" si="4"/>
        <v>450</v>
      </c>
      <c r="E24" s="390">
        <f t="shared" si="4"/>
        <v>500</v>
      </c>
      <c r="F24" s="390">
        <f t="shared" si="4"/>
        <v>630</v>
      </c>
      <c r="G24" s="390">
        <f t="shared" si="4"/>
        <v>500</v>
      </c>
      <c r="H24" s="390">
        <f t="shared" si="4"/>
        <v>500</v>
      </c>
      <c r="I24" s="390">
        <f t="shared" si="4"/>
        <v>500</v>
      </c>
      <c r="J24" s="390">
        <f t="shared" si="4"/>
        <v>630</v>
      </c>
      <c r="K24" s="391">
        <f t="shared" si="4"/>
        <v>550</v>
      </c>
      <c r="L24" s="390">
        <f t="shared" si="4"/>
        <v>550</v>
      </c>
      <c r="M24" s="390">
        <f t="shared" si="4"/>
        <v>550</v>
      </c>
      <c r="N24" s="790"/>
      <c r="O24" s="412">
        <f>SUM(O19:O23)</f>
        <v>6240</v>
      </c>
    </row>
    <row r="25" spans="1:15" ht="46" customHeight="1" thickBot="1" x14ac:dyDescent="0.25">
      <c r="A25" s="809" t="s">
        <v>140</v>
      </c>
      <c r="B25" s="810"/>
      <c r="C25" s="810"/>
      <c r="D25" s="810"/>
      <c r="E25" s="810"/>
      <c r="F25" s="810"/>
      <c r="G25" s="810"/>
      <c r="H25" s="810"/>
      <c r="I25" s="810"/>
      <c r="J25" s="810"/>
      <c r="K25" s="810"/>
      <c r="L25" s="810"/>
      <c r="M25" s="811"/>
      <c r="N25" s="732"/>
      <c r="O25" s="414"/>
    </row>
    <row r="26" spans="1:15" ht="25" customHeight="1" thickBot="1" x14ac:dyDescent="0.25">
      <c r="A26" s="45" t="s">
        <v>27</v>
      </c>
      <c r="B26" s="155"/>
      <c r="C26" s="155"/>
      <c r="D26" s="155"/>
      <c r="E26" s="155"/>
      <c r="F26" s="155"/>
      <c r="G26" s="155"/>
      <c r="H26" s="155"/>
      <c r="I26" s="155"/>
      <c r="J26" s="155"/>
      <c r="K26" s="127"/>
      <c r="L26" s="155"/>
      <c r="M26" s="155"/>
      <c r="N26" s="732"/>
      <c r="O26" s="427">
        <f>SUM(B26:M26)</f>
        <v>0</v>
      </c>
    </row>
    <row r="27" spans="1:15" ht="25" customHeight="1" thickBot="1" x14ac:dyDescent="0.25">
      <c r="A27" s="45" t="s">
        <v>124</v>
      </c>
      <c r="B27" s="155">
        <v>10</v>
      </c>
      <c r="C27" s="155">
        <v>10</v>
      </c>
      <c r="D27" s="155">
        <v>10</v>
      </c>
      <c r="E27" s="155">
        <v>10</v>
      </c>
      <c r="F27" s="155">
        <v>10</v>
      </c>
      <c r="G27" s="155">
        <v>10</v>
      </c>
      <c r="H27" s="155">
        <v>10</v>
      </c>
      <c r="I27" s="155">
        <v>10</v>
      </c>
      <c r="J27" s="155">
        <v>10</v>
      </c>
      <c r="K27" s="127">
        <v>10</v>
      </c>
      <c r="L27" s="155">
        <v>10</v>
      </c>
      <c r="M27" s="155">
        <v>10</v>
      </c>
      <c r="N27" s="732"/>
      <c r="O27" s="427">
        <f t="shared" ref="O27:O35" si="5">SUM(B27:M27)</f>
        <v>120</v>
      </c>
    </row>
    <row r="28" spans="1:15" ht="25" customHeight="1" thickBot="1" x14ac:dyDescent="0.25">
      <c r="A28" s="45" t="s">
        <v>43</v>
      </c>
      <c r="B28" s="155">
        <v>10</v>
      </c>
      <c r="C28" s="155">
        <v>10</v>
      </c>
      <c r="D28" s="155">
        <v>10</v>
      </c>
      <c r="E28" s="155">
        <v>10</v>
      </c>
      <c r="F28" s="155">
        <v>10</v>
      </c>
      <c r="G28" s="155">
        <v>10</v>
      </c>
      <c r="H28" s="155">
        <v>10</v>
      </c>
      <c r="I28" s="155">
        <v>10</v>
      </c>
      <c r="J28" s="155">
        <v>10</v>
      </c>
      <c r="K28" s="127">
        <v>10</v>
      </c>
      <c r="L28" s="155">
        <v>10</v>
      </c>
      <c r="M28" s="155">
        <v>10</v>
      </c>
      <c r="N28" s="732"/>
      <c r="O28" s="427">
        <f t="shared" si="5"/>
        <v>120</v>
      </c>
    </row>
    <row r="29" spans="1:15" ht="25" customHeight="1" thickBot="1" x14ac:dyDescent="0.25">
      <c r="A29" s="45" t="s">
        <v>119</v>
      </c>
      <c r="B29" s="155">
        <v>50</v>
      </c>
      <c r="C29" s="155">
        <v>50</v>
      </c>
      <c r="D29" s="155">
        <v>50</v>
      </c>
      <c r="E29" s="155">
        <v>50</v>
      </c>
      <c r="F29" s="155">
        <v>50</v>
      </c>
      <c r="G29" s="155">
        <v>50</v>
      </c>
      <c r="H29" s="155">
        <v>50</v>
      </c>
      <c r="I29" s="155">
        <v>50</v>
      </c>
      <c r="J29" s="155">
        <v>50</v>
      </c>
      <c r="K29" s="127">
        <v>50</v>
      </c>
      <c r="L29" s="155">
        <v>50</v>
      </c>
      <c r="M29" s="155">
        <v>50</v>
      </c>
      <c r="N29" s="732"/>
      <c r="O29" s="427">
        <f t="shared" si="5"/>
        <v>600</v>
      </c>
    </row>
    <row r="30" spans="1:15" ht="25" customHeight="1" thickBot="1" x14ac:dyDescent="0.25">
      <c r="A30" s="45" t="s">
        <v>154</v>
      </c>
      <c r="B30" s="155">
        <v>5</v>
      </c>
      <c r="C30" s="155">
        <v>5</v>
      </c>
      <c r="D30" s="155">
        <v>5</v>
      </c>
      <c r="E30" s="155">
        <v>5</v>
      </c>
      <c r="F30" s="155">
        <v>5</v>
      </c>
      <c r="G30" s="155">
        <v>5</v>
      </c>
      <c r="H30" s="155">
        <v>5</v>
      </c>
      <c r="I30" s="155">
        <v>5</v>
      </c>
      <c r="J30" s="155">
        <v>5</v>
      </c>
      <c r="K30" s="127">
        <v>5</v>
      </c>
      <c r="L30" s="155">
        <v>5</v>
      </c>
      <c r="M30" s="155">
        <v>5</v>
      </c>
      <c r="N30" s="732"/>
      <c r="O30" s="427">
        <f t="shared" si="5"/>
        <v>60</v>
      </c>
    </row>
    <row r="31" spans="1:15" ht="25" customHeight="1" thickBot="1" x14ac:dyDescent="0.25">
      <c r="A31" s="45" t="s">
        <v>19</v>
      </c>
      <c r="B31" s="155">
        <v>15</v>
      </c>
      <c r="C31" s="155">
        <v>15</v>
      </c>
      <c r="D31" s="155">
        <v>15</v>
      </c>
      <c r="E31" s="155">
        <v>15</v>
      </c>
      <c r="F31" s="155">
        <v>15</v>
      </c>
      <c r="G31" s="155">
        <v>15</v>
      </c>
      <c r="H31" s="155">
        <v>15</v>
      </c>
      <c r="I31" s="155">
        <v>15</v>
      </c>
      <c r="J31" s="155">
        <v>15</v>
      </c>
      <c r="K31" s="127">
        <v>15</v>
      </c>
      <c r="L31" s="155">
        <v>15</v>
      </c>
      <c r="M31" s="155">
        <v>15</v>
      </c>
      <c r="N31" s="732"/>
      <c r="O31" s="427">
        <f t="shared" si="5"/>
        <v>180</v>
      </c>
    </row>
    <row r="32" spans="1:15" ht="25" customHeight="1" thickBot="1" x14ac:dyDescent="0.25">
      <c r="A32" s="45" t="s">
        <v>85</v>
      </c>
      <c r="B32" s="155">
        <v>20</v>
      </c>
      <c r="C32" s="155">
        <v>20</v>
      </c>
      <c r="D32" s="155">
        <v>20</v>
      </c>
      <c r="E32" s="155">
        <v>20</v>
      </c>
      <c r="F32" s="155">
        <v>20</v>
      </c>
      <c r="G32" s="155">
        <v>20</v>
      </c>
      <c r="H32" s="155">
        <v>20</v>
      </c>
      <c r="I32" s="155">
        <v>20</v>
      </c>
      <c r="J32" s="155">
        <v>20</v>
      </c>
      <c r="K32" s="127">
        <v>20</v>
      </c>
      <c r="L32" s="155">
        <v>20</v>
      </c>
      <c r="M32" s="155">
        <v>20</v>
      </c>
      <c r="N32" s="732"/>
      <c r="O32" s="427">
        <f t="shared" si="5"/>
        <v>240</v>
      </c>
    </row>
    <row r="33" spans="1:15" ht="25" customHeight="1" thickBot="1" x14ac:dyDescent="0.25">
      <c r="A33" s="45" t="s">
        <v>66</v>
      </c>
      <c r="B33" s="155">
        <v>8</v>
      </c>
      <c r="C33" s="155">
        <v>8</v>
      </c>
      <c r="D33" s="155">
        <v>8</v>
      </c>
      <c r="E33" s="155">
        <v>8</v>
      </c>
      <c r="F33" s="155">
        <v>8</v>
      </c>
      <c r="G33" s="155">
        <v>8</v>
      </c>
      <c r="H33" s="155">
        <v>8</v>
      </c>
      <c r="I33" s="155">
        <v>8</v>
      </c>
      <c r="J33" s="155">
        <v>8</v>
      </c>
      <c r="K33" s="127">
        <v>6</v>
      </c>
      <c r="L33" s="155">
        <v>6</v>
      </c>
      <c r="M33" s="155">
        <v>6</v>
      </c>
      <c r="N33" s="732"/>
      <c r="O33" s="427">
        <f t="shared" si="5"/>
        <v>90</v>
      </c>
    </row>
    <row r="34" spans="1:15" ht="25" customHeight="1" thickBot="1" x14ac:dyDescent="0.25">
      <c r="A34" s="45" t="s">
        <v>67</v>
      </c>
      <c r="B34" s="155">
        <v>12</v>
      </c>
      <c r="C34" s="155">
        <v>12</v>
      </c>
      <c r="D34" s="155">
        <v>12</v>
      </c>
      <c r="E34" s="155">
        <v>12</v>
      </c>
      <c r="F34" s="155">
        <v>12</v>
      </c>
      <c r="G34" s="155">
        <v>12</v>
      </c>
      <c r="H34" s="155">
        <v>12</v>
      </c>
      <c r="I34" s="155">
        <v>12</v>
      </c>
      <c r="J34" s="155">
        <v>12</v>
      </c>
      <c r="K34" s="127">
        <v>12</v>
      </c>
      <c r="L34" s="155">
        <v>12</v>
      </c>
      <c r="M34" s="155">
        <v>12</v>
      </c>
      <c r="N34" s="732"/>
      <c r="O34" s="427">
        <f t="shared" si="5"/>
        <v>144</v>
      </c>
    </row>
    <row r="35" spans="1:15" ht="25" customHeight="1" thickBot="1" x14ac:dyDescent="0.25">
      <c r="A35" s="385" t="s">
        <v>115</v>
      </c>
      <c r="B35" s="386">
        <v>8</v>
      </c>
      <c r="C35" s="386">
        <v>8</v>
      </c>
      <c r="D35" s="386">
        <v>8</v>
      </c>
      <c r="E35" s="386">
        <v>8</v>
      </c>
      <c r="F35" s="386">
        <v>8</v>
      </c>
      <c r="G35" s="386">
        <v>8</v>
      </c>
      <c r="H35" s="386">
        <v>8</v>
      </c>
      <c r="I35" s="386">
        <v>8</v>
      </c>
      <c r="J35" s="386">
        <v>8</v>
      </c>
      <c r="K35" s="392">
        <v>8</v>
      </c>
      <c r="L35" s="386">
        <v>8</v>
      </c>
      <c r="M35" s="386">
        <v>8</v>
      </c>
      <c r="N35" s="732"/>
      <c r="O35" s="427">
        <f t="shared" si="5"/>
        <v>96</v>
      </c>
    </row>
    <row r="36" spans="1:15" ht="44" customHeight="1" thickBot="1" x14ac:dyDescent="0.25">
      <c r="A36" s="380" t="s">
        <v>137</v>
      </c>
      <c r="B36" s="384">
        <f t="shared" ref="B36:M36" si="6">SUM(B26:B35)</f>
        <v>138</v>
      </c>
      <c r="C36" s="384">
        <f t="shared" si="6"/>
        <v>138</v>
      </c>
      <c r="D36" s="384">
        <f t="shared" si="6"/>
        <v>138</v>
      </c>
      <c r="E36" s="384">
        <f t="shared" si="6"/>
        <v>138</v>
      </c>
      <c r="F36" s="384">
        <f t="shared" si="6"/>
        <v>138</v>
      </c>
      <c r="G36" s="393">
        <f t="shared" si="6"/>
        <v>138</v>
      </c>
      <c r="H36" s="384">
        <f t="shared" si="6"/>
        <v>138</v>
      </c>
      <c r="I36" s="384">
        <f t="shared" si="6"/>
        <v>138</v>
      </c>
      <c r="J36" s="384">
        <f t="shared" si="6"/>
        <v>138</v>
      </c>
      <c r="K36" s="383">
        <f t="shared" si="6"/>
        <v>136</v>
      </c>
      <c r="L36" s="384">
        <f t="shared" si="6"/>
        <v>136</v>
      </c>
      <c r="M36" s="384">
        <f t="shared" si="6"/>
        <v>136</v>
      </c>
      <c r="N36" s="790"/>
      <c r="O36" s="412">
        <f>SUM(O26:O35)</f>
        <v>1650</v>
      </c>
    </row>
    <row r="37" spans="1:15" ht="45" customHeight="1" thickBot="1" x14ac:dyDescent="0.25">
      <c r="A37" s="818" t="s">
        <v>141</v>
      </c>
      <c r="B37" s="819"/>
      <c r="C37" s="819"/>
      <c r="D37" s="819"/>
      <c r="E37" s="819"/>
      <c r="F37" s="819"/>
      <c r="G37" s="819"/>
      <c r="H37" s="819"/>
      <c r="I37" s="819"/>
      <c r="J37" s="819"/>
      <c r="K37" s="819"/>
      <c r="L37" s="819"/>
      <c r="M37" s="820"/>
      <c r="N37" s="732"/>
      <c r="O37" s="414"/>
    </row>
    <row r="38" spans="1:15" ht="25" customHeight="1" thickBot="1" x14ac:dyDescent="0.25">
      <c r="A38" s="428" t="s">
        <v>21</v>
      </c>
      <c r="B38" s="429">
        <v>180</v>
      </c>
      <c r="C38" s="429">
        <v>180</v>
      </c>
      <c r="D38" s="429">
        <v>180</v>
      </c>
      <c r="E38" s="429">
        <v>180</v>
      </c>
      <c r="F38" s="429">
        <v>180</v>
      </c>
      <c r="G38" s="430">
        <v>180</v>
      </c>
      <c r="H38" s="429">
        <v>180</v>
      </c>
      <c r="I38" s="429">
        <v>180</v>
      </c>
      <c r="J38" s="429">
        <v>180</v>
      </c>
      <c r="K38" s="130">
        <v>180</v>
      </c>
      <c r="L38" s="429">
        <v>180</v>
      </c>
      <c r="M38" s="429">
        <v>180</v>
      </c>
      <c r="N38" s="731"/>
      <c r="O38" s="434">
        <f t="shared" ref="O38:O43" si="7">SUM(B38:M38)</f>
        <v>2160</v>
      </c>
    </row>
    <row r="39" spans="1:15" ht="25" customHeight="1" thickBot="1" x14ac:dyDescent="0.25">
      <c r="A39" s="428" t="s">
        <v>56</v>
      </c>
      <c r="B39" s="429">
        <v>100</v>
      </c>
      <c r="C39" s="429">
        <v>100</v>
      </c>
      <c r="D39" s="429">
        <v>100</v>
      </c>
      <c r="E39" s="429">
        <v>100</v>
      </c>
      <c r="F39" s="429">
        <v>100</v>
      </c>
      <c r="G39" s="429">
        <v>100</v>
      </c>
      <c r="H39" s="429">
        <v>100</v>
      </c>
      <c r="I39" s="429">
        <v>100</v>
      </c>
      <c r="J39" s="429">
        <v>100</v>
      </c>
      <c r="K39" s="130">
        <v>100</v>
      </c>
      <c r="L39" s="429">
        <v>100</v>
      </c>
      <c r="M39" s="429">
        <v>100</v>
      </c>
      <c r="N39" s="731"/>
      <c r="O39" s="434">
        <f t="shared" si="7"/>
        <v>1200</v>
      </c>
    </row>
    <row r="40" spans="1:15" s="22" customFormat="1" ht="25" customHeight="1" thickBot="1" x14ac:dyDescent="0.25">
      <c r="A40" s="428" t="s">
        <v>22</v>
      </c>
      <c r="B40" s="429">
        <v>50</v>
      </c>
      <c r="C40" s="429">
        <v>50</v>
      </c>
      <c r="D40" s="429">
        <v>50</v>
      </c>
      <c r="E40" s="429">
        <v>50</v>
      </c>
      <c r="F40" s="429">
        <v>50</v>
      </c>
      <c r="G40" s="430">
        <v>50</v>
      </c>
      <c r="H40" s="430">
        <v>50</v>
      </c>
      <c r="I40" s="430">
        <v>50</v>
      </c>
      <c r="J40" s="430">
        <v>50</v>
      </c>
      <c r="K40" s="130">
        <v>50</v>
      </c>
      <c r="L40" s="429">
        <v>50</v>
      </c>
      <c r="M40" s="429">
        <v>50</v>
      </c>
      <c r="N40" s="731"/>
      <c r="O40" s="434">
        <f t="shared" si="7"/>
        <v>600</v>
      </c>
    </row>
    <row r="41" spans="1:15" ht="25" customHeight="1" thickBot="1" x14ac:dyDescent="0.25">
      <c r="A41" s="428" t="s">
        <v>55</v>
      </c>
      <c r="B41" s="429"/>
      <c r="C41" s="429"/>
      <c r="D41" s="429"/>
      <c r="E41" s="429"/>
      <c r="F41" s="429"/>
      <c r="G41" s="429"/>
      <c r="H41" s="429"/>
      <c r="I41" s="429"/>
      <c r="J41" s="429"/>
      <c r="K41" s="130"/>
      <c r="L41" s="429"/>
      <c r="M41" s="429"/>
      <c r="N41" s="732"/>
      <c r="O41" s="434">
        <f t="shared" si="7"/>
        <v>0</v>
      </c>
    </row>
    <row r="42" spans="1:15" ht="25" customHeight="1" thickBot="1" x14ac:dyDescent="0.25">
      <c r="A42" s="428" t="s">
        <v>58</v>
      </c>
      <c r="B42" s="429"/>
      <c r="C42" s="429"/>
      <c r="D42" s="429"/>
      <c r="E42" s="429"/>
      <c r="F42" s="429"/>
      <c r="G42" s="430"/>
      <c r="H42" s="429"/>
      <c r="I42" s="429"/>
      <c r="J42" s="429"/>
      <c r="K42" s="130"/>
      <c r="L42" s="429"/>
      <c r="M42" s="429"/>
      <c r="N42" s="732"/>
      <c r="O42" s="434">
        <f t="shared" si="7"/>
        <v>0</v>
      </c>
    </row>
    <row r="43" spans="1:15" ht="25" customHeight="1" thickBot="1" x14ac:dyDescent="0.25">
      <c r="A43" s="431" t="s">
        <v>57</v>
      </c>
      <c r="B43" s="432"/>
      <c r="C43" s="432"/>
      <c r="D43" s="432"/>
      <c r="E43" s="432"/>
      <c r="F43" s="432"/>
      <c r="G43" s="433"/>
      <c r="H43" s="432"/>
      <c r="I43" s="432"/>
      <c r="J43" s="432"/>
      <c r="K43" s="394"/>
      <c r="L43" s="432"/>
      <c r="M43" s="432"/>
      <c r="N43" s="731"/>
      <c r="O43" s="434">
        <f t="shared" si="7"/>
        <v>0</v>
      </c>
    </row>
    <row r="44" spans="1:15" ht="42" customHeight="1" thickBot="1" x14ac:dyDescent="0.25">
      <c r="A44" s="380" t="s">
        <v>137</v>
      </c>
      <c r="B44" s="395">
        <f t="shared" ref="B44:M44" si="8">SUM(B38:B43)</f>
        <v>330</v>
      </c>
      <c r="C44" s="395">
        <f t="shared" si="8"/>
        <v>330</v>
      </c>
      <c r="D44" s="395">
        <f t="shared" si="8"/>
        <v>330</v>
      </c>
      <c r="E44" s="395">
        <f t="shared" si="8"/>
        <v>330</v>
      </c>
      <c r="F44" s="395">
        <f t="shared" si="8"/>
        <v>330</v>
      </c>
      <c r="G44" s="396">
        <f t="shared" si="8"/>
        <v>330</v>
      </c>
      <c r="H44" s="395">
        <f t="shared" si="8"/>
        <v>330</v>
      </c>
      <c r="I44" s="395">
        <f t="shared" si="8"/>
        <v>330</v>
      </c>
      <c r="J44" s="395">
        <f t="shared" si="8"/>
        <v>330</v>
      </c>
      <c r="K44" s="397">
        <f t="shared" si="8"/>
        <v>330</v>
      </c>
      <c r="L44" s="398">
        <f t="shared" si="8"/>
        <v>330</v>
      </c>
      <c r="M44" s="398">
        <f t="shared" si="8"/>
        <v>330</v>
      </c>
      <c r="N44" s="790"/>
      <c r="O44" s="412">
        <f>SUM(O38:O43)</f>
        <v>3960</v>
      </c>
    </row>
    <row r="45" spans="1:15" ht="45" customHeight="1" thickBot="1" x14ac:dyDescent="0.25">
      <c r="A45" s="806" t="s">
        <v>142</v>
      </c>
      <c r="B45" s="807"/>
      <c r="C45" s="807"/>
      <c r="D45" s="807"/>
      <c r="E45" s="807"/>
      <c r="F45" s="807"/>
      <c r="G45" s="807"/>
      <c r="H45" s="807"/>
      <c r="I45" s="807"/>
      <c r="J45" s="807"/>
      <c r="K45" s="807"/>
      <c r="L45" s="807"/>
      <c r="M45" s="808"/>
      <c r="N45" s="732"/>
      <c r="O45" s="414"/>
    </row>
    <row r="46" spans="1:15" ht="25" customHeight="1" thickBot="1" x14ac:dyDescent="0.25">
      <c r="A46" s="441" t="s">
        <v>24</v>
      </c>
      <c r="B46" s="442"/>
      <c r="C46" s="442"/>
      <c r="D46" s="442"/>
      <c r="E46" s="442"/>
      <c r="F46" s="442"/>
      <c r="G46" s="443"/>
      <c r="H46" s="442"/>
      <c r="I46" s="442"/>
      <c r="J46" s="442"/>
      <c r="K46" s="399"/>
      <c r="L46" s="447"/>
      <c r="M46" s="447"/>
      <c r="N46" s="731"/>
      <c r="O46" s="427">
        <f t="shared" ref="O46:O60" si="9">SUM(B46:M46)</f>
        <v>0</v>
      </c>
    </row>
    <row r="47" spans="1:15" ht="25" customHeight="1" thickBot="1" x14ac:dyDescent="0.25">
      <c r="A47" s="444"/>
      <c r="B47" s="445"/>
      <c r="C47" s="445"/>
      <c r="D47" s="445"/>
      <c r="E47" s="445"/>
      <c r="F47" s="445"/>
      <c r="G47" s="446"/>
      <c r="H47" s="445"/>
      <c r="I47" s="445"/>
      <c r="J47" s="445"/>
      <c r="K47" s="410"/>
      <c r="L47" s="448"/>
      <c r="M47" s="448"/>
      <c r="N47" s="790"/>
      <c r="O47" s="427"/>
    </row>
    <row r="48" spans="1:15" ht="37" customHeight="1" thickBot="1" x14ac:dyDescent="0.25">
      <c r="A48" s="401" t="s">
        <v>137</v>
      </c>
      <c r="B48" s="402">
        <f>SUM(B46)</f>
        <v>0</v>
      </c>
      <c r="C48" s="402">
        <f t="shared" ref="C48:J48" si="10">SUM(C46)</f>
        <v>0</v>
      </c>
      <c r="D48" s="402">
        <f t="shared" si="10"/>
        <v>0</v>
      </c>
      <c r="E48" s="402">
        <f t="shared" si="10"/>
        <v>0</v>
      </c>
      <c r="F48" s="402">
        <f t="shared" si="10"/>
        <v>0</v>
      </c>
      <c r="G48" s="402">
        <f t="shared" si="10"/>
        <v>0</v>
      </c>
      <c r="H48" s="402">
        <f t="shared" si="10"/>
        <v>0</v>
      </c>
      <c r="I48" s="402">
        <f t="shared" si="10"/>
        <v>0</v>
      </c>
      <c r="J48" s="402">
        <f t="shared" si="10"/>
        <v>0</v>
      </c>
      <c r="K48" s="400">
        <f>SUM(K46)</f>
        <v>0</v>
      </c>
      <c r="L48" s="402">
        <f>SUM(L46)</f>
        <v>0</v>
      </c>
      <c r="M48" s="402">
        <f t="shared" ref="M48" si="11">SUM(M46)</f>
        <v>0</v>
      </c>
      <c r="N48" s="790"/>
      <c r="O48" s="412">
        <f>SUM(O46:O47)</f>
        <v>0</v>
      </c>
    </row>
    <row r="49" spans="1:15" ht="44" customHeight="1" thickBot="1" x14ac:dyDescent="0.25">
      <c r="A49" s="821" t="s">
        <v>144</v>
      </c>
      <c r="B49" s="822"/>
      <c r="C49" s="822"/>
      <c r="D49" s="822"/>
      <c r="E49" s="822"/>
      <c r="F49" s="822"/>
      <c r="G49" s="822"/>
      <c r="H49" s="822"/>
      <c r="I49" s="822"/>
      <c r="J49" s="822"/>
      <c r="K49" s="822"/>
      <c r="L49" s="822"/>
      <c r="M49" s="823"/>
      <c r="N49" s="732"/>
      <c r="O49" s="414"/>
    </row>
    <row r="50" spans="1:15" ht="32" customHeight="1" thickBot="1" x14ac:dyDescent="0.25">
      <c r="A50" s="435" t="s">
        <v>112</v>
      </c>
      <c r="B50" s="436"/>
      <c r="C50" s="436"/>
      <c r="D50" s="436"/>
      <c r="E50" s="436"/>
      <c r="F50" s="436"/>
      <c r="G50" s="430"/>
      <c r="H50" s="436"/>
      <c r="I50" s="436"/>
      <c r="J50" s="436"/>
      <c r="K50" s="134"/>
      <c r="L50" s="439"/>
      <c r="M50" s="439"/>
      <c r="N50" s="732"/>
      <c r="O50" s="427">
        <f t="shared" si="9"/>
        <v>0</v>
      </c>
    </row>
    <row r="51" spans="1:15" ht="25" customHeight="1" thickBot="1" x14ac:dyDescent="0.25">
      <c r="A51" s="437" t="s">
        <v>125</v>
      </c>
      <c r="B51" s="438">
        <v>175</v>
      </c>
      <c r="C51" s="438">
        <v>175</v>
      </c>
      <c r="D51" s="438">
        <v>175</v>
      </c>
      <c r="E51" s="438">
        <v>175</v>
      </c>
      <c r="F51" s="438">
        <v>175</v>
      </c>
      <c r="G51" s="438">
        <v>175</v>
      </c>
      <c r="H51" s="438">
        <v>175</v>
      </c>
      <c r="I51" s="438">
        <v>175</v>
      </c>
      <c r="J51" s="438">
        <v>175</v>
      </c>
      <c r="K51" s="403">
        <v>175</v>
      </c>
      <c r="L51" s="440"/>
      <c r="M51" s="440"/>
      <c r="N51" s="732"/>
      <c r="O51" s="427">
        <f t="shared" si="9"/>
        <v>1750</v>
      </c>
    </row>
    <row r="52" spans="1:15" ht="45" customHeight="1" thickBot="1" x14ac:dyDescent="0.25">
      <c r="A52" s="380" t="s">
        <v>137</v>
      </c>
      <c r="B52" s="384">
        <f>SUM(B50:B51)</f>
        <v>175</v>
      </c>
      <c r="C52" s="384">
        <f>SUM(C50:C51)</f>
        <v>175</v>
      </c>
      <c r="D52" s="384">
        <f t="shared" ref="D52:J52" si="12">SUM(D50:D51)</f>
        <v>175</v>
      </c>
      <c r="E52" s="384">
        <f t="shared" si="12"/>
        <v>175</v>
      </c>
      <c r="F52" s="384">
        <f t="shared" si="12"/>
        <v>175</v>
      </c>
      <c r="G52" s="384">
        <f t="shared" si="12"/>
        <v>175</v>
      </c>
      <c r="H52" s="384">
        <f t="shared" si="12"/>
        <v>175</v>
      </c>
      <c r="I52" s="384">
        <f t="shared" si="12"/>
        <v>175</v>
      </c>
      <c r="J52" s="384">
        <f t="shared" si="12"/>
        <v>175</v>
      </c>
      <c r="K52" s="383">
        <f>SUM(K50:K51)</f>
        <v>175</v>
      </c>
      <c r="L52" s="381">
        <f>SUM(L50:L51)</f>
        <v>0</v>
      </c>
      <c r="M52" s="381">
        <f>SUM(M50:M51)</f>
        <v>0</v>
      </c>
      <c r="N52" s="790"/>
      <c r="O52" s="412">
        <f t="shared" si="9"/>
        <v>1750</v>
      </c>
    </row>
    <row r="53" spans="1:15" ht="39" customHeight="1" thickBot="1" x14ac:dyDescent="0.25">
      <c r="A53" s="806" t="s">
        <v>147</v>
      </c>
      <c r="B53" s="807"/>
      <c r="C53" s="807"/>
      <c r="D53" s="807"/>
      <c r="E53" s="807"/>
      <c r="F53" s="807"/>
      <c r="G53" s="807"/>
      <c r="H53" s="807"/>
      <c r="I53" s="807"/>
      <c r="J53" s="807"/>
      <c r="K53" s="807"/>
      <c r="L53" s="807"/>
      <c r="M53" s="808"/>
      <c r="N53" s="732"/>
      <c r="O53" s="414"/>
    </row>
    <row r="54" spans="1:15" ht="25" customHeight="1" thickBot="1" x14ac:dyDescent="0.25">
      <c r="A54" s="449" t="s">
        <v>52</v>
      </c>
      <c r="B54" s="378">
        <v>40</v>
      </c>
      <c r="C54" s="378">
        <v>40</v>
      </c>
      <c r="D54" s="378">
        <v>60</v>
      </c>
      <c r="E54" s="378">
        <v>60</v>
      </c>
      <c r="F54" s="378">
        <v>60</v>
      </c>
      <c r="G54" s="430">
        <v>60</v>
      </c>
      <c r="H54" s="378">
        <v>60</v>
      </c>
      <c r="I54" s="378">
        <v>60</v>
      </c>
      <c r="J54" s="378">
        <v>60</v>
      </c>
      <c r="K54" s="132">
        <v>60</v>
      </c>
      <c r="L54" s="452">
        <v>60</v>
      </c>
      <c r="M54" s="452">
        <v>60</v>
      </c>
      <c r="N54" s="732"/>
      <c r="O54" s="427">
        <f t="shared" si="9"/>
        <v>680</v>
      </c>
    </row>
    <row r="55" spans="1:15" ht="25" customHeight="1" thickBot="1" x14ac:dyDescent="0.25">
      <c r="A55" s="449" t="s">
        <v>44</v>
      </c>
      <c r="B55" s="378"/>
      <c r="C55" s="378"/>
      <c r="D55" s="378"/>
      <c r="E55" s="378"/>
      <c r="F55" s="378"/>
      <c r="G55" s="430"/>
      <c r="H55" s="378"/>
      <c r="I55" s="378"/>
      <c r="J55" s="378"/>
      <c r="K55" s="132">
        <v>100</v>
      </c>
      <c r="L55" s="452"/>
      <c r="M55" s="452"/>
      <c r="N55" s="732"/>
      <c r="O55" s="427">
        <f t="shared" si="9"/>
        <v>100</v>
      </c>
    </row>
    <row r="56" spans="1:15" ht="25" customHeight="1" thickBot="1" x14ac:dyDescent="0.25">
      <c r="A56" s="450" t="s">
        <v>28</v>
      </c>
      <c r="B56" s="451"/>
      <c r="C56" s="451"/>
      <c r="D56" s="451"/>
      <c r="E56" s="451"/>
      <c r="F56" s="451"/>
      <c r="G56" s="433"/>
      <c r="H56" s="451"/>
      <c r="I56" s="451"/>
      <c r="J56" s="451"/>
      <c r="K56" s="409"/>
      <c r="L56" s="453"/>
      <c r="M56" s="453"/>
      <c r="N56" s="732"/>
      <c r="O56" s="427">
        <f t="shared" si="9"/>
        <v>0</v>
      </c>
    </row>
    <row r="57" spans="1:15" ht="41" customHeight="1" thickBot="1" x14ac:dyDescent="0.25">
      <c r="A57" s="387" t="s">
        <v>137</v>
      </c>
      <c r="B57" s="388">
        <f>SUM(B54:B56)</f>
        <v>40</v>
      </c>
      <c r="C57" s="388">
        <f t="shared" ref="C57:M57" si="13">SUM(C54:C56)</f>
        <v>40</v>
      </c>
      <c r="D57" s="388">
        <f t="shared" si="13"/>
        <v>60</v>
      </c>
      <c r="E57" s="388">
        <f t="shared" si="13"/>
        <v>60</v>
      </c>
      <c r="F57" s="388">
        <f t="shared" si="13"/>
        <v>60</v>
      </c>
      <c r="G57" s="388">
        <f t="shared" si="13"/>
        <v>60</v>
      </c>
      <c r="H57" s="388">
        <f t="shared" si="13"/>
        <v>60</v>
      </c>
      <c r="I57" s="388">
        <f t="shared" si="13"/>
        <v>60</v>
      </c>
      <c r="J57" s="388">
        <f t="shared" si="13"/>
        <v>60</v>
      </c>
      <c r="K57" s="388">
        <f t="shared" si="13"/>
        <v>160</v>
      </c>
      <c r="L57" s="388">
        <f t="shared" si="13"/>
        <v>60</v>
      </c>
      <c r="M57" s="388">
        <f t="shared" si="13"/>
        <v>60</v>
      </c>
      <c r="N57" s="790"/>
      <c r="O57" s="412">
        <f>SUM(O54:O56)</f>
        <v>780</v>
      </c>
    </row>
    <row r="58" spans="1:15" ht="45" customHeight="1" thickBot="1" x14ac:dyDescent="0.25">
      <c r="A58" s="809" t="s">
        <v>155</v>
      </c>
      <c r="B58" s="810"/>
      <c r="C58" s="810"/>
      <c r="D58" s="810"/>
      <c r="E58" s="810"/>
      <c r="F58" s="810"/>
      <c r="G58" s="810"/>
      <c r="H58" s="810"/>
      <c r="I58" s="810"/>
      <c r="J58" s="810"/>
      <c r="K58" s="810"/>
      <c r="L58" s="810"/>
      <c r="M58" s="811"/>
      <c r="N58" s="732"/>
      <c r="O58" s="489"/>
    </row>
    <row r="59" spans="1:15" ht="25" customHeight="1" thickBot="1" x14ac:dyDescent="0.25">
      <c r="A59" s="449" t="s">
        <v>128</v>
      </c>
      <c r="B59" s="378"/>
      <c r="C59" s="378"/>
      <c r="D59" s="378"/>
      <c r="E59" s="378"/>
      <c r="F59" s="378"/>
      <c r="G59" s="378"/>
      <c r="H59" s="378"/>
      <c r="I59" s="378"/>
      <c r="J59" s="378"/>
      <c r="K59" s="132"/>
      <c r="L59" s="452"/>
      <c r="M59" s="452"/>
      <c r="N59" s="732"/>
      <c r="O59" s="427">
        <f t="shared" si="9"/>
        <v>0</v>
      </c>
    </row>
    <row r="60" spans="1:15" ht="25" customHeight="1" thickBot="1" x14ac:dyDescent="0.25">
      <c r="A60" s="450" t="s">
        <v>32</v>
      </c>
      <c r="B60" s="451"/>
      <c r="C60" s="451"/>
      <c r="D60" s="451"/>
      <c r="E60" s="451"/>
      <c r="F60" s="451"/>
      <c r="G60" s="433"/>
      <c r="H60" s="451"/>
      <c r="I60" s="451"/>
      <c r="J60" s="451"/>
      <c r="K60" s="409"/>
      <c r="L60" s="453"/>
      <c r="M60" s="453"/>
      <c r="N60" s="732"/>
      <c r="O60" s="427">
        <f t="shared" si="9"/>
        <v>0</v>
      </c>
    </row>
    <row r="61" spans="1:15" ht="41" customHeight="1" thickBot="1" x14ac:dyDescent="0.25">
      <c r="A61" s="404" t="s">
        <v>137</v>
      </c>
      <c r="B61" s="384">
        <f>SUM(B58:B60)</f>
        <v>0</v>
      </c>
      <c r="C61" s="384">
        <f t="shared" ref="C61:M61" si="14">SUM(C58:C60)</f>
        <v>0</v>
      </c>
      <c r="D61" s="384">
        <f t="shared" si="14"/>
        <v>0</v>
      </c>
      <c r="E61" s="384">
        <f t="shared" si="14"/>
        <v>0</v>
      </c>
      <c r="F61" s="384">
        <f t="shared" si="14"/>
        <v>0</v>
      </c>
      <c r="G61" s="384">
        <f t="shared" si="14"/>
        <v>0</v>
      </c>
      <c r="H61" s="384">
        <f t="shared" si="14"/>
        <v>0</v>
      </c>
      <c r="I61" s="384">
        <f t="shared" si="14"/>
        <v>0</v>
      </c>
      <c r="J61" s="384">
        <f t="shared" si="14"/>
        <v>0</v>
      </c>
      <c r="K61" s="384">
        <f t="shared" si="14"/>
        <v>0</v>
      </c>
      <c r="L61" s="384">
        <f t="shared" si="14"/>
        <v>0</v>
      </c>
      <c r="M61" s="384">
        <f t="shared" si="14"/>
        <v>0</v>
      </c>
      <c r="N61" s="790"/>
      <c r="O61" s="412">
        <f>SUM(O58:O60)</f>
        <v>0</v>
      </c>
    </row>
    <row r="62" spans="1:15" ht="38" customHeight="1" thickBot="1" x14ac:dyDescent="0.25">
      <c r="A62" s="803" t="s">
        <v>42</v>
      </c>
      <c r="B62" s="804"/>
      <c r="C62" s="804"/>
      <c r="D62" s="804"/>
      <c r="E62" s="804"/>
      <c r="F62" s="804"/>
      <c r="G62" s="804"/>
      <c r="H62" s="804"/>
      <c r="I62" s="804"/>
      <c r="J62" s="804"/>
      <c r="K62" s="804"/>
      <c r="L62" s="804"/>
      <c r="M62" s="805"/>
      <c r="N62" s="731"/>
      <c r="O62" s="414"/>
    </row>
    <row r="63" spans="1:15" ht="29" customHeight="1" thickBot="1" x14ac:dyDescent="0.25">
      <c r="A63" s="428" t="s">
        <v>40</v>
      </c>
      <c r="B63" s="429">
        <v>300</v>
      </c>
      <c r="C63" s="429">
        <v>300</v>
      </c>
      <c r="D63" s="429">
        <v>300</v>
      </c>
      <c r="E63" s="429">
        <v>300</v>
      </c>
      <c r="F63" s="429">
        <v>300</v>
      </c>
      <c r="G63" s="429">
        <v>300</v>
      </c>
      <c r="H63" s="429">
        <v>300</v>
      </c>
      <c r="I63" s="429">
        <v>300</v>
      </c>
      <c r="J63" s="429">
        <v>300</v>
      </c>
      <c r="K63" s="129">
        <v>8000</v>
      </c>
      <c r="L63" s="454">
        <v>600</v>
      </c>
      <c r="M63" s="454">
        <v>600</v>
      </c>
      <c r="N63" s="731"/>
      <c r="O63" s="427">
        <f t="shared" ref="O63:O69" si="15">SUM(B63:M63)</f>
        <v>11900</v>
      </c>
    </row>
    <row r="64" spans="1:15" ht="33" customHeight="1" thickBot="1" x14ac:dyDescent="0.25">
      <c r="A64" s="428" t="s">
        <v>34</v>
      </c>
      <c r="B64" s="429"/>
      <c r="C64" s="429">
        <v>100</v>
      </c>
      <c r="D64" s="429">
        <v>100</v>
      </c>
      <c r="E64" s="429">
        <v>100</v>
      </c>
      <c r="F64" s="429">
        <v>100</v>
      </c>
      <c r="G64" s="429">
        <v>100</v>
      </c>
      <c r="H64" s="429">
        <v>100</v>
      </c>
      <c r="I64" s="429">
        <v>100</v>
      </c>
      <c r="J64" s="429">
        <v>100</v>
      </c>
      <c r="K64" s="130">
        <v>500</v>
      </c>
      <c r="L64" s="454">
        <v>100</v>
      </c>
      <c r="M64" s="454">
        <v>100</v>
      </c>
      <c r="N64" s="732"/>
      <c r="O64" s="427">
        <f t="shared" si="15"/>
        <v>1500</v>
      </c>
    </row>
    <row r="65" spans="1:15" ht="33" customHeight="1" thickBot="1" x14ac:dyDescent="0.25">
      <c r="A65" s="431" t="s">
        <v>79</v>
      </c>
      <c r="B65" s="432">
        <v>700</v>
      </c>
      <c r="C65" s="432">
        <v>700</v>
      </c>
      <c r="D65" s="432">
        <v>700</v>
      </c>
      <c r="E65" s="432">
        <v>700</v>
      </c>
      <c r="F65" s="432">
        <v>700</v>
      </c>
      <c r="G65" s="432">
        <v>700</v>
      </c>
      <c r="H65" s="432">
        <v>700</v>
      </c>
      <c r="I65" s="432">
        <v>700</v>
      </c>
      <c r="J65" s="432">
        <v>700</v>
      </c>
      <c r="K65" s="394">
        <v>300</v>
      </c>
      <c r="L65" s="455">
        <v>300</v>
      </c>
      <c r="M65" s="455">
        <v>300</v>
      </c>
      <c r="N65" s="732"/>
      <c r="O65" s="427">
        <f t="shared" si="15"/>
        <v>7200</v>
      </c>
    </row>
    <row r="66" spans="1:15" ht="44" customHeight="1" thickBot="1" x14ac:dyDescent="0.25">
      <c r="A66" s="405" t="s">
        <v>137</v>
      </c>
      <c r="B66" s="406">
        <f>SUM(B63:B65)</f>
        <v>1000</v>
      </c>
      <c r="C66" s="406">
        <f t="shared" ref="C66:J66" si="16">SUM(C63:C65)</f>
        <v>1100</v>
      </c>
      <c r="D66" s="406">
        <f t="shared" si="16"/>
        <v>1100</v>
      </c>
      <c r="E66" s="406">
        <f t="shared" si="16"/>
        <v>1100</v>
      </c>
      <c r="F66" s="406">
        <f t="shared" si="16"/>
        <v>1100</v>
      </c>
      <c r="G66" s="406">
        <f t="shared" si="16"/>
        <v>1100</v>
      </c>
      <c r="H66" s="406">
        <f t="shared" si="16"/>
        <v>1100</v>
      </c>
      <c r="I66" s="406">
        <f t="shared" si="16"/>
        <v>1100</v>
      </c>
      <c r="J66" s="406">
        <f t="shared" si="16"/>
        <v>1100</v>
      </c>
      <c r="K66" s="407">
        <f>SUM(K63:K65)</f>
        <v>8800</v>
      </c>
      <c r="L66" s="408">
        <f>SUM(L63:L65)</f>
        <v>1000</v>
      </c>
      <c r="M66" s="408">
        <f>SUM(M63:M65)</f>
        <v>1000</v>
      </c>
      <c r="N66" s="790"/>
      <c r="O66" s="412">
        <f>SUM(O63:O65)</f>
        <v>20600</v>
      </c>
    </row>
    <row r="67" spans="1:15" ht="42" customHeight="1" thickBot="1" x14ac:dyDescent="0.25">
      <c r="A67" s="803" t="s">
        <v>145</v>
      </c>
      <c r="B67" s="804"/>
      <c r="C67" s="804"/>
      <c r="D67" s="804"/>
      <c r="E67" s="804"/>
      <c r="F67" s="804"/>
      <c r="G67" s="804"/>
      <c r="H67" s="804"/>
      <c r="I67" s="804"/>
      <c r="J67" s="804"/>
      <c r="K67" s="804"/>
      <c r="L67" s="804"/>
      <c r="M67" s="805"/>
      <c r="N67" s="732"/>
      <c r="O67" s="414"/>
    </row>
    <row r="68" spans="1:15" ht="33" customHeight="1" thickBot="1" x14ac:dyDescent="0.25">
      <c r="A68" s="428"/>
      <c r="B68" s="456"/>
      <c r="C68" s="456"/>
      <c r="D68" s="456"/>
      <c r="E68" s="456"/>
      <c r="F68" s="456"/>
      <c r="G68" s="456"/>
      <c r="H68" s="456"/>
      <c r="I68" s="456"/>
      <c r="J68" s="456"/>
      <c r="K68" s="130"/>
      <c r="L68" s="454"/>
      <c r="M68" s="454"/>
      <c r="N68" s="732"/>
      <c r="O68" s="427"/>
    </row>
    <row r="69" spans="1:15" ht="32" customHeight="1" thickBot="1" x14ac:dyDescent="0.25">
      <c r="A69" s="431" t="s">
        <v>146</v>
      </c>
      <c r="B69" s="432">
        <v>50</v>
      </c>
      <c r="C69" s="432">
        <v>50</v>
      </c>
      <c r="D69" s="432">
        <v>50</v>
      </c>
      <c r="E69" s="432">
        <v>50</v>
      </c>
      <c r="F69" s="432">
        <v>50</v>
      </c>
      <c r="G69" s="432">
        <v>50</v>
      </c>
      <c r="H69" s="432">
        <v>50</v>
      </c>
      <c r="I69" s="432">
        <v>50</v>
      </c>
      <c r="J69" s="432">
        <v>50</v>
      </c>
      <c r="K69" s="394">
        <v>50</v>
      </c>
      <c r="L69" s="455">
        <v>50</v>
      </c>
      <c r="M69" s="455">
        <v>50</v>
      </c>
      <c r="N69" s="731"/>
      <c r="O69" s="427">
        <f t="shared" si="15"/>
        <v>600</v>
      </c>
    </row>
    <row r="70" spans="1:15" ht="43" customHeight="1" thickBot="1" x14ac:dyDescent="0.25">
      <c r="A70" s="404" t="s">
        <v>137</v>
      </c>
      <c r="B70" s="381">
        <f>SUM(B68:B69)</f>
        <v>50</v>
      </c>
      <c r="C70" s="381">
        <f t="shared" ref="C70:J70" si="17">SUM(C68:C69)</f>
        <v>50</v>
      </c>
      <c r="D70" s="381">
        <f t="shared" si="17"/>
        <v>50</v>
      </c>
      <c r="E70" s="381">
        <f t="shared" si="17"/>
        <v>50</v>
      </c>
      <c r="F70" s="381">
        <f t="shared" si="17"/>
        <v>50</v>
      </c>
      <c r="G70" s="381">
        <f t="shared" si="17"/>
        <v>50</v>
      </c>
      <c r="H70" s="381">
        <f t="shared" si="17"/>
        <v>50</v>
      </c>
      <c r="I70" s="381">
        <f t="shared" si="17"/>
        <v>50</v>
      </c>
      <c r="J70" s="381">
        <f t="shared" si="17"/>
        <v>50</v>
      </c>
      <c r="K70" s="383">
        <f>SUM(K68:K69)</f>
        <v>50</v>
      </c>
      <c r="L70" s="381">
        <f>SUM(L68:L69)</f>
        <v>50</v>
      </c>
      <c r="M70" s="381">
        <f>SUM(M68:M69)</f>
        <v>50</v>
      </c>
      <c r="N70" s="791"/>
      <c r="O70" s="412">
        <f>SUM(O68:O69)</f>
        <v>600</v>
      </c>
    </row>
    <row r="71" spans="1:15" ht="50" customHeight="1" thickTop="1" thickBot="1" x14ac:dyDescent="0.25">
      <c r="A71" s="462" t="s">
        <v>148</v>
      </c>
      <c r="B71" s="463">
        <f>SUM(B7+B17+B24+B36+B44+B48+B52+B57+B61+B66+B70)</f>
        <v>4823</v>
      </c>
      <c r="C71" s="463">
        <f t="shared" ref="C71:I71" si="18">SUM(C7+C17+C24+C36+C44+C48+C52+C57+C61+C66+C70)</f>
        <v>4823</v>
      </c>
      <c r="D71" s="463">
        <f t="shared" si="18"/>
        <v>4793</v>
      </c>
      <c r="E71" s="463">
        <f t="shared" si="18"/>
        <v>4843</v>
      </c>
      <c r="F71" s="463">
        <f t="shared" si="18"/>
        <v>4973</v>
      </c>
      <c r="G71" s="463">
        <f t="shared" si="18"/>
        <v>4843</v>
      </c>
      <c r="H71" s="463">
        <f t="shared" si="18"/>
        <v>4823</v>
      </c>
      <c r="I71" s="463">
        <f t="shared" si="18"/>
        <v>4823</v>
      </c>
      <c r="J71" s="463">
        <f>SUM(J7+J17+J24+J36+J44++J48+J52+J61+J66+J70)</f>
        <v>4893</v>
      </c>
      <c r="K71" s="464">
        <f>SUM(K7+K17+K24+K36+K44++K48+K52+K61+K66+K70)</f>
        <v>12536</v>
      </c>
      <c r="L71" s="463">
        <f>SUM(L7+L17+L24+L36+L44++L48+L52+L61+L66+L70)</f>
        <v>4626</v>
      </c>
      <c r="M71" s="463">
        <f>SUM(M7+M17+M24+M36+M44++M48+M52+M61+M66+M70)</f>
        <v>4626</v>
      </c>
      <c r="N71" s="795"/>
      <c r="O71" s="466">
        <f t="shared" ref="O71:O80" si="19">SUM(B71:M71)</f>
        <v>65425</v>
      </c>
    </row>
    <row r="72" spans="1:15" ht="41" customHeight="1" thickBot="1" x14ac:dyDescent="0.25">
      <c r="A72" s="806" t="s">
        <v>149</v>
      </c>
      <c r="B72" s="807"/>
      <c r="C72" s="807"/>
      <c r="D72" s="807"/>
      <c r="E72" s="807"/>
      <c r="F72" s="807"/>
      <c r="G72" s="807"/>
      <c r="H72" s="807"/>
      <c r="I72" s="807"/>
      <c r="J72" s="807"/>
      <c r="K72" s="807"/>
      <c r="L72" s="807"/>
      <c r="M72" s="808"/>
      <c r="N72" s="796"/>
      <c r="O72" s="465"/>
    </row>
    <row r="73" spans="1:15" ht="33" customHeight="1" thickBot="1" x14ac:dyDescent="0.25">
      <c r="A73" s="490" t="s">
        <v>41</v>
      </c>
      <c r="B73" s="491">
        <v>5040</v>
      </c>
      <c r="C73" s="491">
        <v>5040</v>
      </c>
      <c r="D73" s="491">
        <v>5040</v>
      </c>
      <c r="E73" s="491">
        <v>5040</v>
      </c>
      <c r="F73" s="491">
        <v>5040</v>
      </c>
      <c r="G73" s="491">
        <v>5040</v>
      </c>
      <c r="H73" s="491">
        <v>5040</v>
      </c>
      <c r="I73" s="491">
        <v>4850</v>
      </c>
      <c r="J73" s="491">
        <v>4850</v>
      </c>
      <c r="K73" s="492">
        <v>14500</v>
      </c>
      <c r="L73" s="493">
        <v>5000</v>
      </c>
      <c r="M73" s="493">
        <v>5000</v>
      </c>
      <c r="N73" s="746"/>
      <c r="O73" s="494">
        <f t="shared" si="19"/>
        <v>69480</v>
      </c>
    </row>
    <row r="74" spans="1:15" ht="30" customHeight="1" thickBot="1" x14ac:dyDescent="0.25">
      <c r="A74" s="490" t="s">
        <v>82</v>
      </c>
      <c r="B74" s="495"/>
      <c r="C74" s="495"/>
      <c r="D74" s="495"/>
      <c r="E74" s="495"/>
      <c r="F74" s="495"/>
      <c r="G74" s="495"/>
      <c r="H74" s="495"/>
      <c r="I74" s="495"/>
      <c r="J74" s="495"/>
      <c r="K74" s="496"/>
      <c r="L74" s="497"/>
      <c r="M74" s="497"/>
      <c r="N74" s="747"/>
      <c r="O74" s="494">
        <f t="shared" si="19"/>
        <v>0</v>
      </c>
    </row>
    <row r="75" spans="1:15" ht="29" customHeight="1" thickBot="1" x14ac:dyDescent="0.25">
      <c r="A75" s="490" t="s">
        <v>35</v>
      </c>
      <c r="B75" s="491"/>
      <c r="C75" s="491"/>
      <c r="D75" s="491"/>
      <c r="E75" s="491"/>
      <c r="F75" s="491"/>
      <c r="G75" s="498"/>
      <c r="H75" s="491"/>
      <c r="I75" s="491"/>
      <c r="J75" s="491"/>
      <c r="K75" s="492"/>
      <c r="L75" s="493"/>
      <c r="M75" s="493"/>
      <c r="N75" s="746"/>
      <c r="O75" s="494">
        <f t="shared" si="19"/>
        <v>0</v>
      </c>
    </row>
    <row r="76" spans="1:15" ht="30" customHeight="1" thickBot="1" x14ac:dyDescent="0.25">
      <c r="A76" s="499" t="s">
        <v>36</v>
      </c>
      <c r="B76" s="500">
        <v>800</v>
      </c>
      <c r="C76" s="500"/>
      <c r="D76" s="500"/>
      <c r="E76" s="501"/>
      <c r="F76" s="501"/>
      <c r="G76" s="502"/>
      <c r="H76" s="501"/>
      <c r="I76" s="501"/>
      <c r="J76" s="501"/>
      <c r="K76" s="503"/>
      <c r="L76" s="504"/>
      <c r="M76" s="504"/>
      <c r="N76" s="746"/>
      <c r="O76" s="494">
        <f t="shared" si="19"/>
        <v>800</v>
      </c>
    </row>
    <row r="77" spans="1:15" ht="61" customHeight="1" thickBot="1" x14ac:dyDescent="0.25">
      <c r="A77" s="415" t="s">
        <v>152</v>
      </c>
      <c r="B77" s="416">
        <f t="shared" ref="B77:M77" si="20">SUM(B73:B76)</f>
        <v>5840</v>
      </c>
      <c r="C77" s="416">
        <f t="shared" si="20"/>
        <v>5040</v>
      </c>
      <c r="D77" s="416">
        <f t="shared" si="20"/>
        <v>5040</v>
      </c>
      <c r="E77" s="416">
        <f t="shared" si="20"/>
        <v>5040</v>
      </c>
      <c r="F77" s="416">
        <f t="shared" si="20"/>
        <v>5040</v>
      </c>
      <c r="G77" s="417">
        <f t="shared" si="20"/>
        <v>5040</v>
      </c>
      <c r="H77" s="416">
        <f t="shared" si="20"/>
        <v>5040</v>
      </c>
      <c r="I77" s="416">
        <f t="shared" si="20"/>
        <v>4850</v>
      </c>
      <c r="J77" s="416">
        <f t="shared" si="20"/>
        <v>4850</v>
      </c>
      <c r="K77" s="420">
        <f t="shared" si="20"/>
        <v>14500</v>
      </c>
      <c r="L77" s="418">
        <f t="shared" si="20"/>
        <v>5000</v>
      </c>
      <c r="M77" s="418">
        <f t="shared" si="20"/>
        <v>5000</v>
      </c>
      <c r="N77" s="740"/>
      <c r="O77" s="419">
        <f t="shared" si="19"/>
        <v>70280</v>
      </c>
    </row>
    <row r="78" spans="1:15" ht="51" customHeight="1" thickBot="1" x14ac:dyDescent="0.25">
      <c r="A78" s="839" t="s">
        <v>150</v>
      </c>
      <c r="B78" s="840"/>
      <c r="C78" s="840"/>
      <c r="D78" s="840"/>
      <c r="E78" s="840"/>
      <c r="F78" s="840"/>
      <c r="G78" s="840"/>
      <c r="H78" s="840"/>
      <c r="I78" s="840"/>
      <c r="J78" s="840"/>
      <c r="K78" s="840"/>
      <c r="L78" s="840"/>
      <c r="M78" s="841"/>
      <c r="N78" s="747"/>
      <c r="O78" s="516"/>
    </row>
    <row r="79" spans="1:15" ht="23" customHeight="1" thickBot="1" x14ac:dyDescent="0.25">
      <c r="A79" s="457"/>
      <c r="B79" s="458"/>
      <c r="C79" s="458"/>
      <c r="D79" s="458"/>
      <c r="E79" s="458"/>
      <c r="F79" s="458"/>
      <c r="G79" s="459"/>
      <c r="H79" s="458"/>
      <c r="I79" s="458"/>
      <c r="J79" s="458"/>
      <c r="K79" s="411"/>
      <c r="L79" s="460"/>
      <c r="M79" s="460"/>
      <c r="N79" s="747"/>
      <c r="O79" s="461"/>
    </row>
    <row r="80" spans="1:15" s="486" customFormat="1" ht="53" customHeight="1" thickBot="1" x14ac:dyDescent="0.25">
      <c r="A80" s="479" t="s">
        <v>50</v>
      </c>
      <c r="B80" s="480">
        <f>(B77-B71-'[1]House DECO &amp; REPAIR 25'!$C$32)</f>
        <v>1017</v>
      </c>
      <c r="C80" s="480">
        <f>(C77-C71-'[1]House DECO &amp; REPAIR 25'!$D$32)</f>
        <v>217</v>
      </c>
      <c r="D80" s="480">
        <f>(D77-D71-'[1]House DECO &amp; REPAIR 25'!$E$32)</f>
        <v>247</v>
      </c>
      <c r="E80" s="481">
        <f>(E77-E71-'[1]House DECO &amp; REPAIR 25'!$F$32)</f>
        <v>197</v>
      </c>
      <c r="F80" s="481">
        <f>(F77-F71-'[1]House DECO &amp; REPAIR 25'!$G$32)</f>
        <v>67</v>
      </c>
      <c r="G80" s="482">
        <f t="shared" ref="G80:M80" si="21">(G77-G71)</f>
        <v>197</v>
      </c>
      <c r="H80" s="481">
        <f t="shared" si="21"/>
        <v>217</v>
      </c>
      <c r="I80" s="481">
        <f t="shared" si="21"/>
        <v>27</v>
      </c>
      <c r="J80" s="481">
        <f t="shared" si="21"/>
        <v>-43</v>
      </c>
      <c r="K80" s="483">
        <f t="shared" si="21"/>
        <v>1964</v>
      </c>
      <c r="L80" s="484">
        <f t="shared" si="21"/>
        <v>374</v>
      </c>
      <c r="M80" s="484">
        <f t="shared" si="21"/>
        <v>374</v>
      </c>
      <c r="N80" s="747"/>
      <c r="O80" s="485">
        <f t="shared" si="19"/>
        <v>4855</v>
      </c>
    </row>
    <row r="81" spans="5:15" ht="25" customHeight="1" thickTop="1" x14ac:dyDescent="0.2">
      <c r="E81" s="33"/>
      <c r="F81" s="33"/>
      <c r="G81" s="33"/>
      <c r="H81" s="33"/>
      <c r="I81" s="33"/>
      <c r="J81" s="33"/>
      <c r="K81" s="36"/>
      <c r="L81" s="797" t="s">
        <v>63</v>
      </c>
      <c r="M81" s="798"/>
      <c r="N81" s="799"/>
      <c r="O81" s="816">
        <f>SUM(O4:O80)</f>
        <v>341930</v>
      </c>
    </row>
    <row r="82" spans="5:15" ht="25" customHeight="1" thickBot="1" x14ac:dyDescent="0.25">
      <c r="E82" s="34"/>
      <c r="F82" s="34"/>
      <c r="G82" s="34"/>
      <c r="H82" s="34"/>
      <c r="I82" s="34"/>
      <c r="J82" s="34"/>
      <c r="K82" s="35"/>
      <c r="L82" s="800"/>
      <c r="M82" s="801"/>
      <c r="N82" s="802"/>
      <c r="O82" s="842"/>
    </row>
    <row r="83" spans="5:15" ht="25" customHeight="1" thickBot="1" x14ac:dyDescent="0.25">
      <c r="E83" s="37"/>
      <c r="F83" s="37"/>
      <c r="G83" s="37"/>
      <c r="H83" s="37"/>
      <c r="I83" s="37"/>
      <c r="J83" s="37"/>
      <c r="K83" s="38"/>
      <c r="L83" s="783" t="s">
        <v>64</v>
      </c>
      <c r="M83" s="784"/>
      <c r="N83" s="785"/>
      <c r="O83" s="487">
        <f>SUM(O66+O70)</f>
        <v>21200</v>
      </c>
    </row>
    <row r="84" spans="5:15" ht="25" customHeight="1" thickBot="1" x14ac:dyDescent="0.25">
      <c r="E84" s="39"/>
      <c r="F84" s="39"/>
      <c r="G84" s="39"/>
      <c r="H84" s="39"/>
      <c r="I84" s="39"/>
      <c r="J84" s="39"/>
      <c r="K84" s="40"/>
      <c r="L84" s="836" t="s">
        <v>42</v>
      </c>
      <c r="M84" s="837"/>
      <c r="N84" s="838"/>
      <c r="O84" s="488">
        <f>SUM(B80:M80)</f>
        <v>4855</v>
      </c>
    </row>
    <row r="85" spans="5:15" ht="35" customHeight="1" thickTop="1" x14ac:dyDescent="0.2"/>
    <row r="86" spans="5:15" ht="31" customHeight="1" x14ac:dyDescent="0.2"/>
  </sheetData>
  <mergeCells count="19">
    <mergeCell ref="A58:M58"/>
    <mergeCell ref="O81:O82"/>
    <mergeCell ref="L83:N83"/>
    <mergeCell ref="L84:N84"/>
    <mergeCell ref="A62:M62"/>
    <mergeCell ref="A67:M67"/>
    <mergeCell ref="N71:N80"/>
    <mergeCell ref="A72:M72"/>
    <mergeCell ref="A78:M78"/>
    <mergeCell ref="L81:N82"/>
    <mergeCell ref="N1:N70"/>
    <mergeCell ref="A3:M3"/>
    <mergeCell ref="A8:M8"/>
    <mergeCell ref="A18:M18"/>
    <mergeCell ref="A25:M25"/>
    <mergeCell ref="A37:M37"/>
    <mergeCell ref="A45:M45"/>
    <mergeCell ref="A49:M49"/>
    <mergeCell ref="A53:M53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A37B-4717-1F49-A11E-8E883814C0A0}">
  <sheetPr>
    <tabColor rgb="FF002060"/>
  </sheetPr>
  <dimension ref="A1:O86"/>
  <sheetViews>
    <sheetView topLeftCell="A66" zoomScale="75" zoomScaleNormal="75" workbookViewId="0">
      <selection activeCell="M51" sqref="M51"/>
    </sheetView>
  </sheetViews>
  <sheetFormatPr baseColWidth="10" defaultColWidth="11.28515625" defaultRowHeight="25" customHeight="1" x14ac:dyDescent="0.2"/>
  <cols>
    <col min="1" max="1" width="23.140625" style="56" bestFit="1" customWidth="1"/>
    <col min="2" max="2" width="18.7109375" style="10" customWidth="1"/>
    <col min="3" max="3" width="16" style="10" customWidth="1"/>
    <col min="4" max="4" width="15.42578125" style="10" customWidth="1"/>
    <col min="5" max="6" width="16.140625" style="10" customWidth="1"/>
    <col min="7" max="7" width="20" style="22" customWidth="1"/>
    <col min="8" max="8" width="17.5703125" style="10" customWidth="1"/>
    <col min="9" max="9" width="16.140625" style="10" customWidth="1"/>
    <col min="10" max="10" width="17.7109375" style="10" customWidth="1"/>
    <col min="11" max="11" width="17.7109375" style="22" customWidth="1"/>
    <col min="12" max="13" width="16.140625" style="10" customWidth="1"/>
    <col min="14" max="14" width="9.7109375" style="10" customWidth="1"/>
    <col min="15" max="15" width="26" style="10" customWidth="1"/>
    <col min="16" max="16" width="27.85546875" style="10" customWidth="1"/>
    <col min="17" max="26" width="10.5703125" style="10" customWidth="1"/>
    <col min="27" max="16384" width="11.28515625" style="10"/>
  </cols>
  <sheetData>
    <row r="1" spans="1:15" ht="44" customHeight="1" thickTop="1" thickBot="1" x14ac:dyDescent="0.25">
      <c r="A1" s="467" t="s">
        <v>160</v>
      </c>
      <c r="B1" s="468" t="s">
        <v>6</v>
      </c>
      <c r="C1" s="468" t="s">
        <v>7</v>
      </c>
      <c r="D1" s="469" t="s">
        <v>8</v>
      </c>
      <c r="E1" s="470" t="s">
        <v>9</v>
      </c>
      <c r="F1" s="126" t="s">
        <v>10</v>
      </c>
      <c r="G1" s="471" t="s">
        <v>2</v>
      </c>
      <c r="H1" s="126" t="s">
        <v>60</v>
      </c>
      <c r="I1" s="126" t="s">
        <v>3</v>
      </c>
      <c r="J1" s="126" t="s">
        <v>61</v>
      </c>
      <c r="K1" s="126" t="s">
        <v>4</v>
      </c>
      <c r="L1" s="126" t="s">
        <v>62</v>
      </c>
      <c r="M1" s="126" t="s">
        <v>5</v>
      </c>
      <c r="N1" s="730"/>
      <c r="O1" s="472" t="s">
        <v>151</v>
      </c>
    </row>
    <row r="2" spans="1:15" ht="29" customHeight="1" thickBot="1" x14ac:dyDescent="0.25">
      <c r="A2" s="474"/>
      <c r="B2" s="475"/>
      <c r="C2" s="475"/>
      <c r="D2" s="476"/>
      <c r="E2" s="476"/>
      <c r="F2" s="476"/>
      <c r="G2" s="477"/>
      <c r="H2" s="476"/>
      <c r="I2" s="476"/>
      <c r="J2" s="476"/>
      <c r="K2" s="473"/>
      <c r="L2" s="476"/>
      <c r="M2" s="476"/>
      <c r="N2" s="789"/>
      <c r="O2" s="478"/>
    </row>
    <row r="3" spans="1:15" ht="45" customHeight="1" thickBot="1" x14ac:dyDescent="0.25">
      <c r="A3" s="792" t="s">
        <v>139</v>
      </c>
      <c r="B3" s="793"/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4"/>
      <c r="N3" s="731"/>
      <c r="O3" s="413"/>
    </row>
    <row r="4" spans="1:15" ht="32" customHeight="1" thickBot="1" x14ac:dyDescent="0.25">
      <c r="A4" s="421" t="s">
        <v>11</v>
      </c>
      <c r="B4" s="422">
        <v>1175</v>
      </c>
      <c r="C4" s="422">
        <v>1175</v>
      </c>
      <c r="D4" s="422">
        <v>1175</v>
      </c>
      <c r="E4" s="422">
        <v>1175</v>
      </c>
      <c r="F4" s="422">
        <v>1175</v>
      </c>
      <c r="G4" s="422">
        <v>1175</v>
      </c>
      <c r="H4" s="422">
        <v>1175</v>
      </c>
      <c r="I4" s="422">
        <v>1175</v>
      </c>
      <c r="J4" s="422">
        <v>1175</v>
      </c>
      <c r="K4" s="131">
        <v>1175</v>
      </c>
      <c r="L4" s="425">
        <v>1200</v>
      </c>
      <c r="M4" s="425">
        <v>1200</v>
      </c>
      <c r="N4" s="731"/>
      <c r="O4" s="427">
        <f t="shared" ref="O4:O16" si="0">SUM(B4:M4)</f>
        <v>14150</v>
      </c>
    </row>
    <row r="5" spans="1:15" ht="31" customHeight="1" thickBot="1" x14ac:dyDescent="0.25">
      <c r="A5" s="421" t="s">
        <v>110</v>
      </c>
      <c r="B5" s="422">
        <v>825</v>
      </c>
      <c r="C5" s="422">
        <v>825</v>
      </c>
      <c r="D5" s="422">
        <v>825</v>
      </c>
      <c r="E5" s="422">
        <v>825</v>
      </c>
      <c r="F5" s="422">
        <v>825</v>
      </c>
      <c r="G5" s="422">
        <v>825</v>
      </c>
      <c r="H5" s="422">
        <v>825</v>
      </c>
      <c r="I5" s="422">
        <v>825</v>
      </c>
      <c r="J5" s="422">
        <v>825</v>
      </c>
      <c r="K5" s="131">
        <v>825</v>
      </c>
      <c r="L5" s="425">
        <v>825</v>
      </c>
      <c r="M5" s="425">
        <v>825</v>
      </c>
      <c r="N5" s="731"/>
      <c r="O5" s="427">
        <f t="shared" si="0"/>
        <v>9900</v>
      </c>
    </row>
    <row r="6" spans="1:15" ht="35" customHeight="1" thickBot="1" x14ac:dyDescent="0.25">
      <c r="A6" s="423" t="s">
        <v>13</v>
      </c>
      <c r="B6" s="424">
        <v>170</v>
      </c>
      <c r="C6" s="424">
        <v>170</v>
      </c>
      <c r="D6" s="424">
        <v>170</v>
      </c>
      <c r="E6" s="424">
        <v>170</v>
      </c>
      <c r="F6" s="424">
        <v>170</v>
      </c>
      <c r="G6" s="424">
        <v>170</v>
      </c>
      <c r="H6" s="424">
        <v>170</v>
      </c>
      <c r="I6" s="424">
        <v>170</v>
      </c>
      <c r="J6" s="424">
        <v>170</v>
      </c>
      <c r="K6" s="379">
        <v>170</v>
      </c>
      <c r="L6" s="426">
        <v>170</v>
      </c>
      <c r="M6" s="426">
        <v>170</v>
      </c>
      <c r="N6" s="731"/>
      <c r="O6" s="427">
        <f t="shared" si="0"/>
        <v>2040</v>
      </c>
    </row>
    <row r="7" spans="1:15" ht="39" customHeight="1" thickBot="1" x14ac:dyDescent="0.25">
      <c r="A7" s="380" t="s">
        <v>137</v>
      </c>
      <c r="B7" s="381">
        <f t="shared" ref="B7:M7" si="1">SUM(B4:B6)</f>
        <v>2170</v>
      </c>
      <c r="C7" s="381">
        <f t="shared" si="1"/>
        <v>2170</v>
      </c>
      <c r="D7" s="381">
        <f t="shared" si="1"/>
        <v>2170</v>
      </c>
      <c r="E7" s="381">
        <f t="shared" si="1"/>
        <v>2170</v>
      </c>
      <c r="F7" s="381">
        <f t="shared" si="1"/>
        <v>2170</v>
      </c>
      <c r="G7" s="382">
        <f t="shared" si="1"/>
        <v>2170</v>
      </c>
      <c r="H7" s="381">
        <f t="shared" si="1"/>
        <v>2170</v>
      </c>
      <c r="I7" s="381">
        <f t="shared" si="1"/>
        <v>2170</v>
      </c>
      <c r="J7" s="381">
        <f t="shared" si="1"/>
        <v>2170</v>
      </c>
      <c r="K7" s="383">
        <f t="shared" si="1"/>
        <v>2170</v>
      </c>
      <c r="L7" s="384">
        <f t="shared" si="1"/>
        <v>2195</v>
      </c>
      <c r="M7" s="384">
        <f t="shared" si="1"/>
        <v>2195</v>
      </c>
      <c r="N7" s="790"/>
      <c r="O7" s="412">
        <f>SUM(O4:O6)</f>
        <v>26090</v>
      </c>
    </row>
    <row r="8" spans="1:15" ht="41" customHeight="1" thickBot="1" x14ac:dyDescent="0.25">
      <c r="A8" s="818" t="s">
        <v>138</v>
      </c>
      <c r="B8" s="819"/>
      <c r="C8" s="819"/>
      <c r="D8" s="819"/>
      <c r="E8" s="819"/>
      <c r="F8" s="819"/>
      <c r="G8" s="819"/>
      <c r="H8" s="819"/>
      <c r="I8" s="819"/>
      <c r="J8" s="819"/>
      <c r="K8" s="819"/>
      <c r="L8" s="819"/>
      <c r="M8" s="820"/>
      <c r="N8" s="732"/>
      <c r="O8" s="414"/>
    </row>
    <row r="9" spans="1:15" ht="25" customHeight="1" thickBot="1" x14ac:dyDescent="0.25">
      <c r="A9" s="45" t="s">
        <v>14</v>
      </c>
      <c r="B9" s="155">
        <v>55</v>
      </c>
      <c r="C9" s="155">
        <v>55</v>
      </c>
      <c r="D9" s="155">
        <v>55</v>
      </c>
      <c r="E9" s="155">
        <v>55</v>
      </c>
      <c r="F9" s="155">
        <v>55</v>
      </c>
      <c r="G9" s="155">
        <v>55</v>
      </c>
      <c r="H9" s="155">
        <v>35</v>
      </c>
      <c r="I9" s="155">
        <v>35</v>
      </c>
      <c r="J9" s="155">
        <v>35</v>
      </c>
      <c r="K9" s="133">
        <v>35</v>
      </c>
      <c r="L9" s="155">
        <v>35</v>
      </c>
      <c r="M9" s="155">
        <v>35</v>
      </c>
      <c r="N9" s="731"/>
      <c r="O9" s="427">
        <f t="shared" si="0"/>
        <v>540</v>
      </c>
    </row>
    <row r="10" spans="1:15" ht="29" customHeight="1" thickBot="1" x14ac:dyDescent="0.25">
      <c r="A10" s="45" t="s">
        <v>133</v>
      </c>
      <c r="B10" s="155">
        <v>135</v>
      </c>
      <c r="C10" s="155">
        <v>135</v>
      </c>
      <c r="D10" s="155">
        <v>135</v>
      </c>
      <c r="E10" s="155">
        <v>135</v>
      </c>
      <c r="F10" s="155">
        <v>135</v>
      </c>
      <c r="G10" s="155">
        <v>135</v>
      </c>
      <c r="H10" s="155">
        <v>135</v>
      </c>
      <c r="I10" s="155">
        <v>135</v>
      </c>
      <c r="J10" s="155">
        <v>135</v>
      </c>
      <c r="K10" s="133">
        <v>160</v>
      </c>
      <c r="L10" s="155">
        <v>160</v>
      </c>
      <c r="M10" s="155">
        <v>160</v>
      </c>
      <c r="N10" s="731"/>
      <c r="O10" s="427">
        <f t="shared" si="0"/>
        <v>1695</v>
      </c>
    </row>
    <row r="11" spans="1:15" ht="25" customHeight="1" thickBot="1" x14ac:dyDescent="0.25">
      <c r="A11" s="45" t="s">
        <v>17</v>
      </c>
      <c r="B11" s="155">
        <v>70</v>
      </c>
      <c r="C11" s="155">
        <v>70</v>
      </c>
      <c r="D11" s="378">
        <v>70</v>
      </c>
      <c r="E11" s="155">
        <v>70</v>
      </c>
      <c r="F11" s="155">
        <v>70</v>
      </c>
      <c r="G11" s="155">
        <v>70</v>
      </c>
      <c r="H11" s="155">
        <v>70</v>
      </c>
      <c r="I11" s="155">
        <v>70</v>
      </c>
      <c r="J11" s="155">
        <v>70</v>
      </c>
      <c r="K11" s="133">
        <v>70</v>
      </c>
      <c r="L11" s="155">
        <v>70</v>
      </c>
      <c r="M11" s="155">
        <v>70</v>
      </c>
      <c r="N11" s="731"/>
      <c r="O11" s="427">
        <f t="shared" si="0"/>
        <v>840</v>
      </c>
    </row>
    <row r="12" spans="1:15" ht="25" customHeight="1" thickBot="1" x14ac:dyDescent="0.25">
      <c r="A12" s="45" t="s">
        <v>131</v>
      </c>
      <c r="B12" s="155">
        <v>40</v>
      </c>
      <c r="C12" s="155">
        <v>40</v>
      </c>
      <c r="D12" s="155">
        <v>40</v>
      </c>
      <c r="E12" s="155">
        <v>40</v>
      </c>
      <c r="F12" s="155">
        <v>40</v>
      </c>
      <c r="G12" s="155">
        <v>40</v>
      </c>
      <c r="H12" s="155">
        <v>40</v>
      </c>
      <c r="I12" s="155">
        <v>40</v>
      </c>
      <c r="J12" s="155">
        <v>40</v>
      </c>
      <c r="K12" s="133">
        <v>40</v>
      </c>
      <c r="L12" s="155">
        <v>40</v>
      </c>
      <c r="M12" s="155">
        <v>40</v>
      </c>
      <c r="N12" s="732"/>
      <c r="O12" s="427">
        <f t="shared" si="0"/>
        <v>480</v>
      </c>
    </row>
    <row r="13" spans="1:15" ht="25" customHeight="1" thickBot="1" x14ac:dyDescent="0.25">
      <c r="A13" s="45" t="s">
        <v>132</v>
      </c>
      <c r="B13" s="155">
        <v>15</v>
      </c>
      <c r="C13" s="155">
        <v>15</v>
      </c>
      <c r="D13" s="155">
        <v>15</v>
      </c>
      <c r="E13" s="155">
        <v>15</v>
      </c>
      <c r="F13" s="155">
        <v>15</v>
      </c>
      <c r="G13" s="155">
        <v>15</v>
      </c>
      <c r="H13" s="155">
        <v>15</v>
      </c>
      <c r="I13" s="155">
        <v>15</v>
      </c>
      <c r="J13" s="155">
        <v>15</v>
      </c>
      <c r="K13" s="133">
        <v>15</v>
      </c>
      <c r="L13" s="155">
        <v>15</v>
      </c>
      <c r="M13" s="155">
        <v>15</v>
      </c>
      <c r="N13" s="732"/>
      <c r="O13" s="427">
        <f t="shared" si="0"/>
        <v>180</v>
      </c>
    </row>
    <row r="14" spans="1:15" ht="25" customHeight="1" thickBot="1" x14ac:dyDescent="0.25">
      <c r="A14" s="45" t="s">
        <v>135</v>
      </c>
      <c r="B14" s="155">
        <v>30</v>
      </c>
      <c r="C14" s="155">
        <v>30</v>
      </c>
      <c r="D14" s="155">
        <v>30</v>
      </c>
      <c r="E14" s="155">
        <v>30</v>
      </c>
      <c r="F14" s="155">
        <v>30</v>
      </c>
      <c r="G14" s="155">
        <v>30</v>
      </c>
      <c r="H14" s="155">
        <v>30</v>
      </c>
      <c r="I14" s="155">
        <v>30</v>
      </c>
      <c r="J14" s="155">
        <v>30</v>
      </c>
      <c r="K14" s="133">
        <v>30</v>
      </c>
      <c r="L14" s="155">
        <v>30</v>
      </c>
      <c r="M14" s="155">
        <v>30</v>
      </c>
      <c r="N14" s="732"/>
      <c r="O14" s="427">
        <f t="shared" si="0"/>
        <v>360</v>
      </c>
    </row>
    <row r="15" spans="1:15" ht="25" customHeight="1" thickBot="1" x14ac:dyDescent="0.25">
      <c r="A15" s="45" t="s">
        <v>120</v>
      </c>
      <c r="B15" s="155">
        <v>25</v>
      </c>
      <c r="C15" s="155">
        <v>25</v>
      </c>
      <c r="D15" s="155">
        <v>25</v>
      </c>
      <c r="E15" s="155">
        <v>25</v>
      </c>
      <c r="F15" s="155">
        <v>25</v>
      </c>
      <c r="G15" s="155">
        <v>25</v>
      </c>
      <c r="H15" s="155">
        <v>25</v>
      </c>
      <c r="I15" s="155">
        <v>25</v>
      </c>
      <c r="J15" s="155">
        <v>25</v>
      </c>
      <c r="K15" s="133">
        <v>25</v>
      </c>
      <c r="L15" s="155">
        <v>25</v>
      </c>
      <c r="M15" s="155">
        <v>25</v>
      </c>
      <c r="N15" s="732"/>
      <c r="O15" s="427">
        <f t="shared" si="0"/>
        <v>300</v>
      </c>
    </row>
    <row r="16" spans="1:15" ht="25" customHeight="1" thickBot="1" x14ac:dyDescent="0.25">
      <c r="A16" s="45" t="s">
        <v>39</v>
      </c>
      <c r="B16" s="155">
        <v>15</v>
      </c>
      <c r="C16" s="155">
        <v>15</v>
      </c>
      <c r="D16" s="155">
        <v>15</v>
      </c>
      <c r="E16" s="155">
        <v>15</v>
      </c>
      <c r="F16" s="155">
        <v>15</v>
      </c>
      <c r="G16" s="155">
        <v>15</v>
      </c>
      <c r="H16" s="155">
        <v>15</v>
      </c>
      <c r="I16" s="155">
        <v>15</v>
      </c>
      <c r="J16" s="155">
        <v>15</v>
      </c>
      <c r="K16" s="133">
        <v>15</v>
      </c>
      <c r="L16" s="155">
        <v>15</v>
      </c>
      <c r="M16" s="155">
        <v>15</v>
      </c>
      <c r="N16" s="732"/>
      <c r="O16" s="427">
        <f t="shared" si="0"/>
        <v>180</v>
      </c>
    </row>
    <row r="17" spans="1:15" ht="41" customHeight="1" thickBot="1" x14ac:dyDescent="0.25">
      <c r="A17" s="389" t="s">
        <v>137</v>
      </c>
      <c r="B17" s="390">
        <f t="shared" ref="B17:M17" si="2">SUM(B9:B16)</f>
        <v>385</v>
      </c>
      <c r="C17" s="390">
        <f t="shared" si="2"/>
        <v>385</v>
      </c>
      <c r="D17" s="390">
        <f t="shared" si="2"/>
        <v>385</v>
      </c>
      <c r="E17" s="390">
        <f t="shared" si="2"/>
        <v>385</v>
      </c>
      <c r="F17" s="390">
        <f t="shared" si="2"/>
        <v>385</v>
      </c>
      <c r="G17" s="390">
        <f t="shared" si="2"/>
        <v>385</v>
      </c>
      <c r="H17" s="390">
        <f t="shared" si="2"/>
        <v>365</v>
      </c>
      <c r="I17" s="390">
        <f t="shared" si="2"/>
        <v>365</v>
      </c>
      <c r="J17" s="390">
        <f t="shared" si="2"/>
        <v>365</v>
      </c>
      <c r="K17" s="391">
        <f t="shared" si="2"/>
        <v>390</v>
      </c>
      <c r="L17" s="390">
        <f t="shared" si="2"/>
        <v>390</v>
      </c>
      <c r="M17" s="390">
        <f t="shared" si="2"/>
        <v>390</v>
      </c>
      <c r="N17" s="790"/>
      <c r="O17" s="412">
        <f>SUM(O9:O16)</f>
        <v>4575</v>
      </c>
    </row>
    <row r="18" spans="1:15" ht="38" customHeight="1" thickBot="1" x14ac:dyDescent="0.25">
      <c r="A18" s="809" t="s">
        <v>143</v>
      </c>
      <c r="B18" s="810"/>
      <c r="C18" s="810"/>
      <c r="D18" s="810"/>
      <c r="E18" s="810"/>
      <c r="F18" s="810"/>
      <c r="G18" s="810"/>
      <c r="H18" s="810"/>
      <c r="I18" s="810"/>
      <c r="J18" s="810"/>
      <c r="K18" s="810"/>
      <c r="L18" s="810"/>
      <c r="M18" s="811"/>
      <c r="N18" s="732"/>
      <c r="O18" s="414"/>
    </row>
    <row r="19" spans="1:15" ht="25" customHeight="1" thickBot="1" x14ac:dyDescent="0.25">
      <c r="A19" s="45" t="s">
        <v>153</v>
      </c>
      <c r="B19" s="155">
        <v>60</v>
      </c>
      <c r="C19" s="155">
        <v>60</v>
      </c>
      <c r="D19" s="155">
        <v>60</v>
      </c>
      <c r="E19" s="155">
        <v>60</v>
      </c>
      <c r="F19" s="155">
        <v>60</v>
      </c>
      <c r="G19" s="155">
        <v>60</v>
      </c>
      <c r="H19" s="155">
        <v>60</v>
      </c>
      <c r="I19" s="155">
        <v>60</v>
      </c>
      <c r="J19" s="155">
        <v>60</v>
      </c>
      <c r="K19" s="133">
        <v>60</v>
      </c>
      <c r="L19" s="155">
        <v>60</v>
      </c>
      <c r="M19" s="155">
        <v>60</v>
      </c>
      <c r="N19" s="731"/>
      <c r="O19" s="427">
        <f>SUM(B19:M19)</f>
        <v>720</v>
      </c>
    </row>
    <row r="20" spans="1:15" ht="25" customHeight="1" thickBot="1" x14ac:dyDescent="0.25">
      <c r="A20" s="45" t="s">
        <v>45</v>
      </c>
      <c r="B20" s="155">
        <v>20</v>
      </c>
      <c r="C20" s="155">
        <v>20</v>
      </c>
      <c r="D20" s="155">
        <v>20</v>
      </c>
      <c r="E20" s="155">
        <v>20</v>
      </c>
      <c r="F20" s="155">
        <v>20</v>
      </c>
      <c r="G20" s="155">
        <v>20</v>
      </c>
      <c r="H20" s="155">
        <v>20</v>
      </c>
      <c r="I20" s="155">
        <v>20</v>
      </c>
      <c r="J20" s="155">
        <v>20</v>
      </c>
      <c r="K20" s="133">
        <v>20</v>
      </c>
      <c r="L20" s="155">
        <v>20</v>
      </c>
      <c r="M20" s="155">
        <v>20</v>
      </c>
      <c r="N20" s="732"/>
      <c r="O20" s="427">
        <v>20</v>
      </c>
    </row>
    <row r="21" spans="1:15" ht="25" customHeight="1" thickBot="1" x14ac:dyDescent="0.25">
      <c r="A21" s="45" t="s">
        <v>1</v>
      </c>
      <c r="B21" s="155">
        <v>200</v>
      </c>
      <c r="C21" s="155">
        <v>200</v>
      </c>
      <c r="D21" s="155">
        <v>200</v>
      </c>
      <c r="E21" s="155">
        <v>200</v>
      </c>
      <c r="F21" s="155">
        <v>200</v>
      </c>
      <c r="G21" s="155">
        <v>200</v>
      </c>
      <c r="H21" s="155">
        <v>200</v>
      </c>
      <c r="I21" s="155">
        <v>200</v>
      </c>
      <c r="J21" s="155">
        <v>200</v>
      </c>
      <c r="K21" s="133">
        <v>300</v>
      </c>
      <c r="L21" s="155">
        <v>300</v>
      </c>
      <c r="M21" s="155">
        <v>300</v>
      </c>
      <c r="N21" s="731"/>
      <c r="O21" s="427">
        <f t="shared" ref="O21:O23" si="3">SUM(B21:M21)</f>
        <v>2700</v>
      </c>
    </row>
    <row r="22" spans="1:15" ht="25" customHeight="1" thickBot="1" x14ac:dyDescent="0.25">
      <c r="A22" s="45" t="s">
        <v>38</v>
      </c>
      <c r="B22" s="155">
        <v>70</v>
      </c>
      <c r="C22" s="155">
        <v>70</v>
      </c>
      <c r="D22" s="155">
        <v>70</v>
      </c>
      <c r="E22" s="155">
        <v>70</v>
      </c>
      <c r="F22" s="155">
        <v>70</v>
      </c>
      <c r="G22" s="155">
        <v>70</v>
      </c>
      <c r="H22" s="155">
        <v>70</v>
      </c>
      <c r="I22" s="155">
        <v>70</v>
      </c>
      <c r="J22" s="155">
        <v>70</v>
      </c>
      <c r="K22" s="133">
        <v>70</v>
      </c>
      <c r="L22" s="155">
        <v>70</v>
      </c>
      <c r="M22" s="155">
        <v>70</v>
      </c>
      <c r="N22" s="732"/>
      <c r="O22" s="427">
        <f t="shared" si="3"/>
        <v>840</v>
      </c>
    </row>
    <row r="23" spans="1:15" ht="25" customHeight="1" thickBot="1" x14ac:dyDescent="0.25">
      <c r="A23" s="45" t="s">
        <v>51</v>
      </c>
      <c r="B23" s="155">
        <v>250</v>
      </c>
      <c r="C23" s="155">
        <v>150</v>
      </c>
      <c r="D23" s="155">
        <v>100</v>
      </c>
      <c r="E23" s="155">
        <v>150</v>
      </c>
      <c r="F23" s="155">
        <v>280</v>
      </c>
      <c r="G23" s="155">
        <v>150</v>
      </c>
      <c r="H23" s="155">
        <v>150</v>
      </c>
      <c r="I23" s="155">
        <v>150</v>
      </c>
      <c r="J23" s="155">
        <v>280</v>
      </c>
      <c r="K23" s="133">
        <v>100</v>
      </c>
      <c r="L23" s="155">
        <v>100</v>
      </c>
      <c r="M23" s="155">
        <v>100</v>
      </c>
      <c r="N23" s="732"/>
      <c r="O23" s="427">
        <f t="shared" si="3"/>
        <v>1960</v>
      </c>
    </row>
    <row r="24" spans="1:15" ht="51" customHeight="1" thickBot="1" x14ac:dyDescent="0.25">
      <c r="A24" s="389" t="s">
        <v>137</v>
      </c>
      <c r="B24" s="390">
        <f t="shared" ref="B24:M24" si="4">SUM(B19:B23)</f>
        <v>600</v>
      </c>
      <c r="C24" s="390">
        <f t="shared" si="4"/>
        <v>500</v>
      </c>
      <c r="D24" s="390">
        <f t="shared" si="4"/>
        <v>450</v>
      </c>
      <c r="E24" s="390">
        <f t="shared" si="4"/>
        <v>500</v>
      </c>
      <c r="F24" s="390">
        <f t="shared" si="4"/>
        <v>630</v>
      </c>
      <c r="G24" s="390">
        <f t="shared" si="4"/>
        <v>500</v>
      </c>
      <c r="H24" s="390">
        <f t="shared" si="4"/>
        <v>500</v>
      </c>
      <c r="I24" s="390">
        <f t="shared" si="4"/>
        <v>500</v>
      </c>
      <c r="J24" s="390">
        <f t="shared" si="4"/>
        <v>630</v>
      </c>
      <c r="K24" s="391">
        <f t="shared" si="4"/>
        <v>550</v>
      </c>
      <c r="L24" s="390">
        <f t="shared" si="4"/>
        <v>550</v>
      </c>
      <c r="M24" s="390">
        <f t="shared" si="4"/>
        <v>550</v>
      </c>
      <c r="N24" s="790"/>
      <c r="O24" s="412">
        <f>SUM(O19:O23)</f>
        <v>6240</v>
      </c>
    </row>
    <row r="25" spans="1:15" ht="46" customHeight="1" thickBot="1" x14ac:dyDescent="0.25">
      <c r="A25" s="809" t="s">
        <v>140</v>
      </c>
      <c r="B25" s="810"/>
      <c r="C25" s="810"/>
      <c r="D25" s="810"/>
      <c r="E25" s="810"/>
      <c r="F25" s="810"/>
      <c r="G25" s="810"/>
      <c r="H25" s="810"/>
      <c r="I25" s="810"/>
      <c r="J25" s="810"/>
      <c r="K25" s="810"/>
      <c r="L25" s="810"/>
      <c r="M25" s="811"/>
      <c r="N25" s="732"/>
      <c r="O25" s="414"/>
    </row>
    <row r="26" spans="1:15" ht="25" customHeight="1" thickBot="1" x14ac:dyDescent="0.25">
      <c r="A26" s="45" t="s">
        <v>27</v>
      </c>
      <c r="B26" s="155"/>
      <c r="C26" s="155"/>
      <c r="D26" s="155"/>
      <c r="E26" s="155"/>
      <c r="F26" s="155"/>
      <c r="G26" s="155"/>
      <c r="H26" s="155"/>
      <c r="I26" s="155"/>
      <c r="J26" s="155"/>
      <c r="K26" s="127"/>
      <c r="L26" s="155"/>
      <c r="M26" s="155"/>
      <c r="N26" s="732"/>
      <c r="O26" s="427">
        <f>SUM(B26:M26)</f>
        <v>0</v>
      </c>
    </row>
    <row r="27" spans="1:15" ht="25" customHeight="1" thickBot="1" x14ac:dyDescent="0.25">
      <c r="A27" s="45" t="s">
        <v>124</v>
      </c>
      <c r="B27" s="155">
        <v>10</v>
      </c>
      <c r="C27" s="155">
        <v>10</v>
      </c>
      <c r="D27" s="155">
        <v>10</v>
      </c>
      <c r="E27" s="155">
        <v>10</v>
      </c>
      <c r="F27" s="155">
        <v>10</v>
      </c>
      <c r="G27" s="155">
        <v>10</v>
      </c>
      <c r="H27" s="155">
        <v>10</v>
      </c>
      <c r="I27" s="155">
        <v>10</v>
      </c>
      <c r="J27" s="155">
        <v>10</v>
      </c>
      <c r="K27" s="127">
        <v>10</v>
      </c>
      <c r="L27" s="155">
        <v>10</v>
      </c>
      <c r="M27" s="155">
        <v>10</v>
      </c>
      <c r="N27" s="732"/>
      <c r="O27" s="427">
        <f t="shared" ref="O27:O35" si="5">SUM(B27:M27)</f>
        <v>120</v>
      </c>
    </row>
    <row r="28" spans="1:15" ht="25" customHeight="1" thickBot="1" x14ac:dyDescent="0.25">
      <c r="A28" s="45" t="s">
        <v>43</v>
      </c>
      <c r="B28" s="155">
        <v>10</v>
      </c>
      <c r="C28" s="155">
        <v>10</v>
      </c>
      <c r="D28" s="155">
        <v>10</v>
      </c>
      <c r="E28" s="155">
        <v>10</v>
      </c>
      <c r="F28" s="155">
        <v>10</v>
      </c>
      <c r="G28" s="155">
        <v>10</v>
      </c>
      <c r="H28" s="155">
        <v>10</v>
      </c>
      <c r="I28" s="155">
        <v>10</v>
      </c>
      <c r="J28" s="155">
        <v>10</v>
      </c>
      <c r="K28" s="127">
        <v>10</v>
      </c>
      <c r="L28" s="155">
        <v>10</v>
      </c>
      <c r="M28" s="155">
        <v>10</v>
      </c>
      <c r="N28" s="732"/>
      <c r="O28" s="427">
        <f t="shared" si="5"/>
        <v>120</v>
      </c>
    </row>
    <row r="29" spans="1:15" ht="25" customHeight="1" thickBot="1" x14ac:dyDescent="0.25">
      <c r="A29" s="45" t="s">
        <v>119</v>
      </c>
      <c r="B29" s="155">
        <v>50</v>
      </c>
      <c r="C29" s="155">
        <v>50</v>
      </c>
      <c r="D29" s="155">
        <v>50</v>
      </c>
      <c r="E29" s="155">
        <v>50</v>
      </c>
      <c r="F29" s="155">
        <v>50</v>
      </c>
      <c r="G29" s="155">
        <v>50</v>
      </c>
      <c r="H29" s="155">
        <v>50</v>
      </c>
      <c r="I29" s="155">
        <v>50</v>
      </c>
      <c r="J29" s="155">
        <v>50</v>
      </c>
      <c r="K29" s="127">
        <v>50</v>
      </c>
      <c r="L29" s="155">
        <v>50</v>
      </c>
      <c r="M29" s="155">
        <v>50</v>
      </c>
      <c r="N29" s="732"/>
      <c r="O29" s="427">
        <f t="shared" si="5"/>
        <v>600</v>
      </c>
    </row>
    <row r="30" spans="1:15" ht="25" customHeight="1" thickBot="1" x14ac:dyDescent="0.25">
      <c r="A30" s="45" t="s">
        <v>154</v>
      </c>
      <c r="B30" s="155">
        <v>5</v>
      </c>
      <c r="C30" s="155">
        <v>5</v>
      </c>
      <c r="D30" s="155">
        <v>5</v>
      </c>
      <c r="E30" s="155">
        <v>5</v>
      </c>
      <c r="F30" s="155">
        <v>5</v>
      </c>
      <c r="G30" s="155">
        <v>5</v>
      </c>
      <c r="H30" s="155">
        <v>5</v>
      </c>
      <c r="I30" s="155">
        <v>5</v>
      </c>
      <c r="J30" s="155">
        <v>5</v>
      </c>
      <c r="K30" s="127">
        <v>5</v>
      </c>
      <c r="L30" s="155">
        <v>5</v>
      </c>
      <c r="M30" s="155">
        <v>5</v>
      </c>
      <c r="N30" s="732"/>
      <c r="O30" s="427">
        <f t="shared" si="5"/>
        <v>60</v>
      </c>
    </row>
    <row r="31" spans="1:15" ht="25" customHeight="1" thickBot="1" x14ac:dyDescent="0.25">
      <c r="A31" s="45" t="s">
        <v>19</v>
      </c>
      <c r="B31" s="155">
        <v>15</v>
      </c>
      <c r="C31" s="155">
        <v>15</v>
      </c>
      <c r="D31" s="155">
        <v>15</v>
      </c>
      <c r="E31" s="155">
        <v>15</v>
      </c>
      <c r="F31" s="155">
        <v>15</v>
      </c>
      <c r="G31" s="155">
        <v>15</v>
      </c>
      <c r="H31" s="155">
        <v>15</v>
      </c>
      <c r="I31" s="155">
        <v>15</v>
      </c>
      <c r="J31" s="155">
        <v>15</v>
      </c>
      <c r="K31" s="127">
        <v>15</v>
      </c>
      <c r="L31" s="155">
        <v>15</v>
      </c>
      <c r="M31" s="155">
        <v>15</v>
      </c>
      <c r="N31" s="732"/>
      <c r="O31" s="427">
        <f t="shared" si="5"/>
        <v>180</v>
      </c>
    </row>
    <row r="32" spans="1:15" ht="25" customHeight="1" thickBot="1" x14ac:dyDescent="0.25">
      <c r="A32" s="45" t="s">
        <v>85</v>
      </c>
      <c r="B32" s="155">
        <v>20</v>
      </c>
      <c r="C32" s="155">
        <v>20</v>
      </c>
      <c r="D32" s="155">
        <v>20</v>
      </c>
      <c r="E32" s="155">
        <v>20</v>
      </c>
      <c r="F32" s="155">
        <v>20</v>
      </c>
      <c r="G32" s="155">
        <v>20</v>
      </c>
      <c r="H32" s="155">
        <v>20</v>
      </c>
      <c r="I32" s="155">
        <v>20</v>
      </c>
      <c r="J32" s="155">
        <v>20</v>
      </c>
      <c r="K32" s="127">
        <v>20</v>
      </c>
      <c r="L32" s="155">
        <v>20</v>
      </c>
      <c r="M32" s="155">
        <v>20</v>
      </c>
      <c r="N32" s="732"/>
      <c r="O32" s="427">
        <f t="shared" si="5"/>
        <v>240</v>
      </c>
    </row>
    <row r="33" spans="1:15" ht="25" customHeight="1" thickBot="1" x14ac:dyDescent="0.25">
      <c r="A33" s="45" t="s">
        <v>66</v>
      </c>
      <c r="B33" s="155">
        <v>8</v>
      </c>
      <c r="C33" s="155">
        <v>8</v>
      </c>
      <c r="D33" s="155">
        <v>8</v>
      </c>
      <c r="E33" s="155">
        <v>8</v>
      </c>
      <c r="F33" s="155">
        <v>8</v>
      </c>
      <c r="G33" s="155">
        <v>8</v>
      </c>
      <c r="H33" s="155">
        <v>8</v>
      </c>
      <c r="I33" s="155">
        <v>8</v>
      </c>
      <c r="J33" s="155">
        <v>8</v>
      </c>
      <c r="K33" s="127">
        <v>6</v>
      </c>
      <c r="L33" s="155">
        <v>6</v>
      </c>
      <c r="M33" s="155">
        <v>6</v>
      </c>
      <c r="N33" s="732"/>
      <c r="O33" s="427">
        <f t="shared" si="5"/>
        <v>90</v>
      </c>
    </row>
    <row r="34" spans="1:15" ht="25" customHeight="1" thickBot="1" x14ac:dyDescent="0.25">
      <c r="A34" s="45" t="s">
        <v>67</v>
      </c>
      <c r="B34" s="155">
        <v>12</v>
      </c>
      <c r="C34" s="155">
        <v>12</v>
      </c>
      <c r="D34" s="155">
        <v>12</v>
      </c>
      <c r="E34" s="155">
        <v>12</v>
      </c>
      <c r="F34" s="155">
        <v>12</v>
      </c>
      <c r="G34" s="155">
        <v>12</v>
      </c>
      <c r="H34" s="155">
        <v>12</v>
      </c>
      <c r="I34" s="155">
        <v>12</v>
      </c>
      <c r="J34" s="155">
        <v>12</v>
      </c>
      <c r="K34" s="127">
        <v>12</v>
      </c>
      <c r="L34" s="155">
        <v>12</v>
      </c>
      <c r="M34" s="155">
        <v>12</v>
      </c>
      <c r="N34" s="732"/>
      <c r="O34" s="427">
        <f t="shared" si="5"/>
        <v>144</v>
      </c>
    </row>
    <row r="35" spans="1:15" ht="25" customHeight="1" thickBot="1" x14ac:dyDescent="0.25">
      <c r="A35" s="385" t="s">
        <v>115</v>
      </c>
      <c r="B35" s="386">
        <v>8</v>
      </c>
      <c r="C35" s="386">
        <v>8</v>
      </c>
      <c r="D35" s="386">
        <v>8</v>
      </c>
      <c r="E35" s="386">
        <v>8</v>
      </c>
      <c r="F35" s="386">
        <v>8</v>
      </c>
      <c r="G35" s="386">
        <v>8</v>
      </c>
      <c r="H35" s="386">
        <v>8</v>
      </c>
      <c r="I35" s="386">
        <v>8</v>
      </c>
      <c r="J35" s="386">
        <v>8</v>
      </c>
      <c r="K35" s="392">
        <v>8</v>
      </c>
      <c r="L35" s="386">
        <v>8</v>
      </c>
      <c r="M35" s="386">
        <v>8</v>
      </c>
      <c r="N35" s="732"/>
      <c r="O35" s="427">
        <f t="shared" si="5"/>
        <v>96</v>
      </c>
    </row>
    <row r="36" spans="1:15" ht="44" customHeight="1" thickBot="1" x14ac:dyDescent="0.25">
      <c r="A36" s="380" t="s">
        <v>137</v>
      </c>
      <c r="B36" s="384">
        <f t="shared" ref="B36:M36" si="6">SUM(B26:B35)</f>
        <v>138</v>
      </c>
      <c r="C36" s="384">
        <f t="shared" si="6"/>
        <v>138</v>
      </c>
      <c r="D36" s="384">
        <f t="shared" si="6"/>
        <v>138</v>
      </c>
      <c r="E36" s="384">
        <f t="shared" si="6"/>
        <v>138</v>
      </c>
      <c r="F36" s="384">
        <f t="shared" si="6"/>
        <v>138</v>
      </c>
      <c r="G36" s="393">
        <f t="shared" si="6"/>
        <v>138</v>
      </c>
      <c r="H36" s="384">
        <f t="shared" si="6"/>
        <v>138</v>
      </c>
      <c r="I36" s="384">
        <f t="shared" si="6"/>
        <v>138</v>
      </c>
      <c r="J36" s="384">
        <f t="shared" si="6"/>
        <v>138</v>
      </c>
      <c r="K36" s="383">
        <f t="shared" si="6"/>
        <v>136</v>
      </c>
      <c r="L36" s="384">
        <f t="shared" si="6"/>
        <v>136</v>
      </c>
      <c r="M36" s="384">
        <f t="shared" si="6"/>
        <v>136</v>
      </c>
      <c r="N36" s="790"/>
      <c r="O36" s="412">
        <f>SUM(O26:O35)</f>
        <v>1650</v>
      </c>
    </row>
    <row r="37" spans="1:15" ht="45" customHeight="1" thickBot="1" x14ac:dyDescent="0.25">
      <c r="A37" s="818" t="s">
        <v>141</v>
      </c>
      <c r="B37" s="819"/>
      <c r="C37" s="819"/>
      <c r="D37" s="819"/>
      <c r="E37" s="819"/>
      <c r="F37" s="819"/>
      <c r="G37" s="819"/>
      <c r="H37" s="819"/>
      <c r="I37" s="819"/>
      <c r="J37" s="819"/>
      <c r="K37" s="819"/>
      <c r="L37" s="819"/>
      <c r="M37" s="820"/>
      <c r="N37" s="732"/>
      <c r="O37" s="414"/>
    </row>
    <row r="38" spans="1:15" ht="25" customHeight="1" thickBot="1" x14ac:dyDescent="0.25">
      <c r="A38" s="428" t="s">
        <v>21</v>
      </c>
      <c r="B38" s="429">
        <v>180</v>
      </c>
      <c r="C38" s="429">
        <v>180</v>
      </c>
      <c r="D38" s="429">
        <v>180</v>
      </c>
      <c r="E38" s="429">
        <v>180</v>
      </c>
      <c r="F38" s="429">
        <v>180</v>
      </c>
      <c r="G38" s="430">
        <v>180</v>
      </c>
      <c r="H38" s="429">
        <v>180</v>
      </c>
      <c r="I38" s="429">
        <v>180</v>
      </c>
      <c r="J38" s="429">
        <v>180</v>
      </c>
      <c r="K38" s="130">
        <v>180</v>
      </c>
      <c r="L38" s="429">
        <v>180</v>
      </c>
      <c r="M38" s="429">
        <v>180</v>
      </c>
      <c r="N38" s="731"/>
      <c r="O38" s="434">
        <f t="shared" ref="O38:O43" si="7">SUM(B38:M38)</f>
        <v>2160</v>
      </c>
    </row>
    <row r="39" spans="1:15" ht="25" customHeight="1" thickBot="1" x14ac:dyDescent="0.25">
      <c r="A39" s="428" t="s">
        <v>56</v>
      </c>
      <c r="B39" s="429">
        <v>100</v>
      </c>
      <c r="C39" s="429">
        <v>100</v>
      </c>
      <c r="D39" s="429">
        <v>100</v>
      </c>
      <c r="E39" s="429">
        <v>100</v>
      </c>
      <c r="F39" s="429">
        <v>100</v>
      </c>
      <c r="G39" s="429">
        <v>100</v>
      </c>
      <c r="H39" s="429">
        <v>100</v>
      </c>
      <c r="I39" s="429">
        <v>100</v>
      </c>
      <c r="J39" s="429">
        <v>100</v>
      </c>
      <c r="K39" s="130">
        <v>100</v>
      </c>
      <c r="L39" s="429">
        <v>100</v>
      </c>
      <c r="M39" s="429">
        <v>100</v>
      </c>
      <c r="N39" s="731"/>
      <c r="O39" s="434">
        <f t="shared" si="7"/>
        <v>1200</v>
      </c>
    </row>
    <row r="40" spans="1:15" s="22" customFormat="1" ht="25" customHeight="1" thickBot="1" x14ac:dyDescent="0.25">
      <c r="A40" s="428" t="s">
        <v>22</v>
      </c>
      <c r="B40" s="429">
        <v>50</v>
      </c>
      <c r="C40" s="429">
        <v>50</v>
      </c>
      <c r="D40" s="429">
        <v>50</v>
      </c>
      <c r="E40" s="429">
        <v>50</v>
      </c>
      <c r="F40" s="429">
        <v>50</v>
      </c>
      <c r="G40" s="430">
        <v>50</v>
      </c>
      <c r="H40" s="430">
        <v>50</v>
      </c>
      <c r="I40" s="430">
        <v>50</v>
      </c>
      <c r="J40" s="430">
        <v>50</v>
      </c>
      <c r="K40" s="130">
        <v>50</v>
      </c>
      <c r="L40" s="429">
        <v>50</v>
      </c>
      <c r="M40" s="429">
        <v>50</v>
      </c>
      <c r="N40" s="731"/>
      <c r="O40" s="434">
        <f t="shared" si="7"/>
        <v>600</v>
      </c>
    </row>
    <row r="41" spans="1:15" ht="25" customHeight="1" thickBot="1" x14ac:dyDescent="0.25">
      <c r="A41" s="428" t="s">
        <v>55</v>
      </c>
      <c r="B41" s="429"/>
      <c r="C41" s="429"/>
      <c r="D41" s="429"/>
      <c r="E41" s="429"/>
      <c r="F41" s="429"/>
      <c r="G41" s="429"/>
      <c r="H41" s="429"/>
      <c r="I41" s="429"/>
      <c r="J41" s="429"/>
      <c r="K41" s="130"/>
      <c r="L41" s="429"/>
      <c r="M41" s="429"/>
      <c r="N41" s="732"/>
      <c r="O41" s="434">
        <f t="shared" si="7"/>
        <v>0</v>
      </c>
    </row>
    <row r="42" spans="1:15" ht="25" customHeight="1" thickBot="1" x14ac:dyDescent="0.25">
      <c r="A42" s="428" t="s">
        <v>58</v>
      </c>
      <c r="B42" s="429"/>
      <c r="C42" s="429"/>
      <c r="D42" s="429"/>
      <c r="E42" s="429"/>
      <c r="F42" s="429"/>
      <c r="G42" s="430"/>
      <c r="H42" s="429"/>
      <c r="I42" s="429"/>
      <c r="J42" s="429"/>
      <c r="K42" s="130"/>
      <c r="L42" s="429"/>
      <c r="M42" s="429"/>
      <c r="N42" s="732"/>
      <c r="O42" s="434">
        <f t="shared" si="7"/>
        <v>0</v>
      </c>
    </row>
    <row r="43" spans="1:15" ht="25" customHeight="1" thickBot="1" x14ac:dyDescent="0.25">
      <c r="A43" s="431" t="s">
        <v>57</v>
      </c>
      <c r="B43" s="432"/>
      <c r="C43" s="432"/>
      <c r="D43" s="432"/>
      <c r="E43" s="432"/>
      <c r="F43" s="432"/>
      <c r="G43" s="433"/>
      <c r="H43" s="432"/>
      <c r="I43" s="432"/>
      <c r="J43" s="432"/>
      <c r="K43" s="394"/>
      <c r="L43" s="432"/>
      <c r="M43" s="432"/>
      <c r="N43" s="731"/>
      <c r="O43" s="434">
        <f t="shared" si="7"/>
        <v>0</v>
      </c>
    </row>
    <row r="44" spans="1:15" ht="42" customHeight="1" thickBot="1" x14ac:dyDescent="0.25">
      <c r="A44" s="380" t="s">
        <v>137</v>
      </c>
      <c r="B44" s="395">
        <f t="shared" ref="B44:M44" si="8">SUM(B38:B43)</f>
        <v>330</v>
      </c>
      <c r="C44" s="395">
        <f t="shared" si="8"/>
        <v>330</v>
      </c>
      <c r="D44" s="395">
        <f t="shared" si="8"/>
        <v>330</v>
      </c>
      <c r="E44" s="395">
        <f t="shared" si="8"/>
        <v>330</v>
      </c>
      <c r="F44" s="395">
        <f t="shared" si="8"/>
        <v>330</v>
      </c>
      <c r="G44" s="396">
        <f t="shared" si="8"/>
        <v>330</v>
      </c>
      <c r="H44" s="395">
        <f t="shared" si="8"/>
        <v>330</v>
      </c>
      <c r="I44" s="395">
        <f t="shared" si="8"/>
        <v>330</v>
      </c>
      <c r="J44" s="395">
        <f t="shared" si="8"/>
        <v>330</v>
      </c>
      <c r="K44" s="397">
        <f t="shared" si="8"/>
        <v>330</v>
      </c>
      <c r="L44" s="398">
        <f t="shared" si="8"/>
        <v>330</v>
      </c>
      <c r="M44" s="398">
        <f t="shared" si="8"/>
        <v>330</v>
      </c>
      <c r="N44" s="790"/>
      <c r="O44" s="412">
        <f>SUM(O38:O43)</f>
        <v>3960</v>
      </c>
    </row>
    <row r="45" spans="1:15" ht="45" customHeight="1" thickBot="1" x14ac:dyDescent="0.25">
      <c r="A45" s="806" t="s">
        <v>142</v>
      </c>
      <c r="B45" s="807"/>
      <c r="C45" s="807"/>
      <c r="D45" s="807"/>
      <c r="E45" s="807"/>
      <c r="F45" s="807"/>
      <c r="G45" s="807"/>
      <c r="H45" s="807"/>
      <c r="I45" s="807"/>
      <c r="J45" s="807"/>
      <c r="K45" s="807"/>
      <c r="L45" s="807"/>
      <c r="M45" s="808"/>
      <c r="N45" s="732"/>
      <c r="O45" s="414"/>
    </row>
    <row r="46" spans="1:15" ht="25" customHeight="1" thickBot="1" x14ac:dyDescent="0.25">
      <c r="A46" s="441" t="s">
        <v>24</v>
      </c>
      <c r="B46" s="442"/>
      <c r="C46" s="442"/>
      <c r="D46" s="442"/>
      <c r="E46" s="442"/>
      <c r="F46" s="442"/>
      <c r="G46" s="443"/>
      <c r="H46" s="442"/>
      <c r="I46" s="442"/>
      <c r="J46" s="442"/>
      <c r="K46" s="399"/>
      <c r="L46" s="447"/>
      <c r="M46" s="447"/>
      <c r="N46" s="731"/>
      <c r="O46" s="427">
        <f t="shared" ref="O46:O60" si="9">SUM(B46:M46)</f>
        <v>0</v>
      </c>
    </row>
    <row r="47" spans="1:15" ht="25" customHeight="1" thickBot="1" x14ac:dyDescent="0.25">
      <c r="A47" s="444"/>
      <c r="B47" s="445"/>
      <c r="C47" s="445"/>
      <c r="D47" s="445"/>
      <c r="E47" s="445"/>
      <c r="F47" s="445"/>
      <c r="G47" s="446"/>
      <c r="H47" s="445"/>
      <c r="I47" s="445"/>
      <c r="J47" s="445"/>
      <c r="K47" s="410"/>
      <c r="L47" s="448"/>
      <c r="M47" s="448"/>
      <c r="N47" s="790"/>
      <c r="O47" s="427"/>
    </row>
    <row r="48" spans="1:15" ht="37" customHeight="1" thickBot="1" x14ac:dyDescent="0.25">
      <c r="A48" s="401" t="s">
        <v>137</v>
      </c>
      <c r="B48" s="402">
        <f>SUM(B46)</f>
        <v>0</v>
      </c>
      <c r="C48" s="402">
        <f t="shared" ref="C48:J48" si="10">SUM(C46)</f>
        <v>0</v>
      </c>
      <c r="D48" s="402">
        <f t="shared" si="10"/>
        <v>0</v>
      </c>
      <c r="E48" s="402">
        <f t="shared" si="10"/>
        <v>0</v>
      </c>
      <c r="F48" s="402">
        <f t="shared" si="10"/>
        <v>0</v>
      </c>
      <c r="G48" s="402">
        <f t="shared" si="10"/>
        <v>0</v>
      </c>
      <c r="H48" s="402">
        <f t="shared" si="10"/>
        <v>0</v>
      </c>
      <c r="I48" s="402">
        <f t="shared" si="10"/>
        <v>0</v>
      </c>
      <c r="J48" s="402">
        <f t="shared" si="10"/>
        <v>0</v>
      </c>
      <c r="K48" s="400">
        <f>SUM(K46)</f>
        <v>0</v>
      </c>
      <c r="L48" s="402">
        <f>SUM(L46)</f>
        <v>0</v>
      </c>
      <c r="M48" s="402">
        <f t="shared" ref="M48" si="11">SUM(M46)</f>
        <v>0</v>
      </c>
      <c r="N48" s="790"/>
      <c r="O48" s="412">
        <f>SUM(O46:O47)</f>
        <v>0</v>
      </c>
    </row>
    <row r="49" spans="1:15" ht="44" customHeight="1" thickBot="1" x14ac:dyDescent="0.25">
      <c r="A49" s="821" t="s">
        <v>144</v>
      </c>
      <c r="B49" s="822"/>
      <c r="C49" s="822"/>
      <c r="D49" s="822"/>
      <c r="E49" s="822"/>
      <c r="F49" s="822"/>
      <c r="G49" s="822"/>
      <c r="H49" s="822"/>
      <c r="I49" s="822"/>
      <c r="J49" s="822"/>
      <c r="K49" s="822"/>
      <c r="L49" s="822"/>
      <c r="M49" s="823"/>
      <c r="N49" s="732"/>
      <c r="O49" s="414"/>
    </row>
    <row r="50" spans="1:15" ht="32" customHeight="1" thickBot="1" x14ac:dyDescent="0.25">
      <c r="A50" s="435" t="s">
        <v>112</v>
      </c>
      <c r="B50" s="436"/>
      <c r="C50" s="436"/>
      <c r="D50" s="436"/>
      <c r="E50" s="436"/>
      <c r="F50" s="436"/>
      <c r="G50" s="430"/>
      <c r="H50" s="436"/>
      <c r="I50" s="436"/>
      <c r="J50" s="436"/>
      <c r="K50" s="134"/>
      <c r="L50" s="439"/>
      <c r="M50" s="439"/>
      <c r="N50" s="732"/>
      <c r="O50" s="427">
        <f t="shared" si="9"/>
        <v>0</v>
      </c>
    </row>
    <row r="51" spans="1:15" ht="25" customHeight="1" thickBot="1" x14ac:dyDescent="0.25">
      <c r="A51" s="437" t="s">
        <v>125</v>
      </c>
      <c r="B51" s="438"/>
      <c r="C51" s="438"/>
      <c r="D51" s="438"/>
      <c r="E51" s="438"/>
      <c r="F51" s="438"/>
      <c r="G51" s="438"/>
      <c r="H51" s="438"/>
      <c r="I51" s="438"/>
      <c r="J51" s="438"/>
      <c r="K51" s="403"/>
      <c r="L51" s="440"/>
      <c r="M51" s="440"/>
      <c r="N51" s="732"/>
      <c r="O51" s="427">
        <f t="shared" si="9"/>
        <v>0</v>
      </c>
    </row>
    <row r="52" spans="1:15" ht="45" customHeight="1" thickBot="1" x14ac:dyDescent="0.25">
      <c r="A52" s="380" t="s">
        <v>137</v>
      </c>
      <c r="B52" s="384">
        <f>SUM(B50:B51)</f>
        <v>0</v>
      </c>
      <c r="C52" s="384">
        <f>SUM(C50:C51)</f>
        <v>0</v>
      </c>
      <c r="D52" s="384">
        <f t="shared" ref="D52:J52" si="12">SUM(D50:D51)</f>
        <v>0</v>
      </c>
      <c r="E52" s="384">
        <f t="shared" si="12"/>
        <v>0</v>
      </c>
      <c r="F52" s="384">
        <f t="shared" si="12"/>
        <v>0</v>
      </c>
      <c r="G52" s="384">
        <f t="shared" si="12"/>
        <v>0</v>
      </c>
      <c r="H52" s="384">
        <f t="shared" si="12"/>
        <v>0</v>
      </c>
      <c r="I52" s="384">
        <f t="shared" si="12"/>
        <v>0</v>
      </c>
      <c r="J52" s="384">
        <f t="shared" si="12"/>
        <v>0</v>
      </c>
      <c r="K52" s="383">
        <f>SUM(K50:K51)</f>
        <v>0</v>
      </c>
      <c r="L52" s="381">
        <f>SUM(L50:L51)</f>
        <v>0</v>
      </c>
      <c r="M52" s="381">
        <f>SUM(M50:M51)</f>
        <v>0</v>
      </c>
      <c r="N52" s="790"/>
      <c r="O52" s="412">
        <f t="shared" si="9"/>
        <v>0</v>
      </c>
    </row>
    <row r="53" spans="1:15" ht="39" customHeight="1" thickBot="1" x14ac:dyDescent="0.25">
      <c r="A53" s="806" t="s">
        <v>147</v>
      </c>
      <c r="B53" s="807"/>
      <c r="C53" s="807"/>
      <c r="D53" s="807"/>
      <c r="E53" s="807"/>
      <c r="F53" s="807"/>
      <c r="G53" s="807"/>
      <c r="H53" s="807"/>
      <c r="I53" s="807"/>
      <c r="J53" s="807"/>
      <c r="K53" s="807"/>
      <c r="L53" s="807"/>
      <c r="M53" s="808"/>
      <c r="N53" s="732"/>
      <c r="O53" s="414"/>
    </row>
    <row r="54" spans="1:15" ht="25" customHeight="1" thickBot="1" x14ac:dyDescent="0.25">
      <c r="A54" s="449" t="s">
        <v>52</v>
      </c>
      <c r="B54" s="378">
        <v>40</v>
      </c>
      <c r="C54" s="378">
        <v>40</v>
      </c>
      <c r="D54" s="378">
        <v>60</v>
      </c>
      <c r="E54" s="378">
        <v>60</v>
      </c>
      <c r="F54" s="378">
        <v>60</v>
      </c>
      <c r="G54" s="430">
        <v>60</v>
      </c>
      <c r="H54" s="378">
        <v>60</v>
      </c>
      <c r="I54" s="378">
        <v>60</v>
      </c>
      <c r="J54" s="378">
        <v>60</v>
      </c>
      <c r="K54" s="132">
        <v>60</v>
      </c>
      <c r="L54" s="452">
        <v>60</v>
      </c>
      <c r="M54" s="452">
        <v>60</v>
      </c>
      <c r="N54" s="732"/>
      <c r="O54" s="427">
        <f t="shared" si="9"/>
        <v>680</v>
      </c>
    </row>
    <row r="55" spans="1:15" ht="25" customHeight="1" thickBot="1" x14ac:dyDescent="0.25">
      <c r="A55" s="449" t="s">
        <v>44</v>
      </c>
      <c r="B55" s="378"/>
      <c r="C55" s="378"/>
      <c r="D55" s="378"/>
      <c r="E55" s="378"/>
      <c r="F55" s="378"/>
      <c r="G55" s="430"/>
      <c r="H55" s="378"/>
      <c r="I55" s="378"/>
      <c r="J55" s="378"/>
      <c r="K55" s="132">
        <v>100</v>
      </c>
      <c r="L55" s="452"/>
      <c r="M55" s="452"/>
      <c r="N55" s="732"/>
      <c r="O55" s="427">
        <f t="shared" si="9"/>
        <v>100</v>
      </c>
    </row>
    <row r="56" spans="1:15" ht="25" customHeight="1" thickBot="1" x14ac:dyDescent="0.25">
      <c r="A56" s="450" t="s">
        <v>28</v>
      </c>
      <c r="B56" s="451"/>
      <c r="C56" s="451"/>
      <c r="D56" s="451"/>
      <c r="E56" s="451"/>
      <c r="F56" s="451"/>
      <c r="G56" s="433"/>
      <c r="H56" s="451"/>
      <c r="I56" s="451"/>
      <c r="J56" s="451"/>
      <c r="K56" s="409"/>
      <c r="L56" s="453"/>
      <c r="M56" s="453"/>
      <c r="N56" s="732"/>
      <c r="O56" s="427">
        <f t="shared" si="9"/>
        <v>0</v>
      </c>
    </row>
    <row r="57" spans="1:15" ht="41" customHeight="1" thickBot="1" x14ac:dyDescent="0.25">
      <c r="A57" s="387" t="s">
        <v>137</v>
      </c>
      <c r="B57" s="388">
        <f>SUM(B54:B56)</f>
        <v>40</v>
      </c>
      <c r="C57" s="388">
        <f t="shared" ref="C57:M57" si="13">SUM(C54:C56)</f>
        <v>40</v>
      </c>
      <c r="D57" s="388">
        <f t="shared" si="13"/>
        <v>60</v>
      </c>
      <c r="E57" s="388">
        <f t="shared" si="13"/>
        <v>60</v>
      </c>
      <c r="F57" s="388">
        <f t="shared" si="13"/>
        <v>60</v>
      </c>
      <c r="G57" s="388">
        <f t="shared" si="13"/>
        <v>60</v>
      </c>
      <c r="H57" s="388">
        <f t="shared" si="13"/>
        <v>60</v>
      </c>
      <c r="I57" s="388">
        <f t="shared" si="13"/>
        <v>60</v>
      </c>
      <c r="J57" s="388">
        <f t="shared" si="13"/>
        <v>60</v>
      </c>
      <c r="K57" s="388">
        <f t="shared" si="13"/>
        <v>160</v>
      </c>
      <c r="L57" s="388">
        <f t="shared" si="13"/>
        <v>60</v>
      </c>
      <c r="M57" s="388">
        <f t="shared" si="13"/>
        <v>60</v>
      </c>
      <c r="N57" s="790"/>
      <c r="O57" s="412">
        <f>SUM(O54:O56)</f>
        <v>780</v>
      </c>
    </row>
    <row r="58" spans="1:15" ht="45" customHeight="1" thickBot="1" x14ac:dyDescent="0.25">
      <c r="A58" s="809" t="s">
        <v>155</v>
      </c>
      <c r="B58" s="810"/>
      <c r="C58" s="810"/>
      <c r="D58" s="810"/>
      <c r="E58" s="810"/>
      <c r="F58" s="810"/>
      <c r="G58" s="810"/>
      <c r="H58" s="810"/>
      <c r="I58" s="810"/>
      <c r="J58" s="810"/>
      <c r="K58" s="810"/>
      <c r="L58" s="810"/>
      <c r="M58" s="811"/>
      <c r="N58" s="732"/>
      <c r="O58" s="489"/>
    </row>
    <row r="59" spans="1:15" ht="25" customHeight="1" thickBot="1" x14ac:dyDescent="0.25">
      <c r="A59" s="449" t="s">
        <v>128</v>
      </c>
      <c r="B59" s="378"/>
      <c r="C59" s="378"/>
      <c r="D59" s="378"/>
      <c r="E59" s="378"/>
      <c r="F59" s="378"/>
      <c r="G59" s="378"/>
      <c r="H59" s="378"/>
      <c r="I59" s="378"/>
      <c r="J59" s="378"/>
      <c r="K59" s="132"/>
      <c r="L59" s="452"/>
      <c r="M59" s="452"/>
      <c r="N59" s="732"/>
      <c r="O59" s="427">
        <f t="shared" si="9"/>
        <v>0</v>
      </c>
    </row>
    <row r="60" spans="1:15" ht="25" customHeight="1" thickBot="1" x14ac:dyDescent="0.25">
      <c r="A60" s="450" t="s">
        <v>32</v>
      </c>
      <c r="B60" s="451"/>
      <c r="C60" s="451"/>
      <c r="D60" s="451"/>
      <c r="E60" s="451"/>
      <c r="F60" s="451"/>
      <c r="G60" s="433"/>
      <c r="H60" s="451"/>
      <c r="I60" s="451"/>
      <c r="J60" s="451"/>
      <c r="K60" s="409"/>
      <c r="L60" s="453"/>
      <c r="M60" s="453"/>
      <c r="N60" s="732"/>
      <c r="O60" s="427">
        <f t="shared" si="9"/>
        <v>0</v>
      </c>
    </row>
    <row r="61" spans="1:15" ht="41" customHeight="1" thickBot="1" x14ac:dyDescent="0.25">
      <c r="A61" s="404" t="s">
        <v>137</v>
      </c>
      <c r="B61" s="384">
        <f>SUM(B58:B60)</f>
        <v>0</v>
      </c>
      <c r="C61" s="384">
        <f t="shared" ref="C61:M61" si="14">SUM(C58:C60)</f>
        <v>0</v>
      </c>
      <c r="D61" s="384">
        <f t="shared" si="14"/>
        <v>0</v>
      </c>
      <c r="E61" s="384">
        <f t="shared" si="14"/>
        <v>0</v>
      </c>
      <c r="F61" s="384">
        <f t="shared" si="14"/>
        <v>0</v>
      </c>
      <c r="G61" s="384">
        <f t="shared" si="14"/>
        <v>0</v>
      </c>
      <c r="H61" s="384">
        <f t="shared" si="14"/>
        <v>0</v>
      </c>
      <c r="I61" s="384">
        <f t="shared" si="14"/>
        <v>0</v>
      </c>
      <c r="J61" s="384">
        <f t="shared" si="14"/>
        <v>0</v>
      </c>
      <c r="K61" s="384">
        <f t="shared" si="14"/>
        <v>0</v>
      </c>
      <c r="L61" s="384">
        <f t="shared" si="14"/>
        <v>0</v>
      </c>
      <c r="M61" s="384">
        <f t="shared" si="14"/>
        <v>0</v>
      </c>
      <c r="N61" s="790"/>
      <c r="O61" s="412">
        <f>SUM(O58:O60)</f>
        <v>0</v>
      </c>
    </row>
    <row r="62" spans="1:15" ht="38" customHeight="1" thickBot="1" x14ac:dyDescent="0.25">
      <c r="A62" s="803" t="s">
        <v>42</v>
      </c>
      <c r="B62" s="804"/>
      <c r="C62" s="804"/>
      <c r="D62" s="804"/>
      <c r="E62" s="804"/>
      <c r="F62" s="804"/>
      <c r="G62" s="804"/>
      <c r="H62" s="804"/>
      <c r="I62" s="804"/>
      <c r="J62" s="804"/>
      <c r="K62" s="804"/>
      <c r="L62" s="804"/>
      <c r="M62" s="805"/>
      <c r="N62" s="731"/>
      <c r="O62" s="414"/>
    </row>
    <row r="63" spans="1:15" ht="29" customHeight="1" thickBot="1" x14ac:dyDescent="0.25">
      <c r="A63" s="428" t="s">
        <v>40</v>
      </c>
      <c r="B63" s="429">
        <v>300</v>
      </c>
      <c r="C63" s="429">
        <v>300</v>
      </c>
      <c r="D63" s="429">
        <v>300</v>
      </c>
      <c r="E63" s="429">
        <v>300</v>
      </c>
      <c r="F63" s="429">
        <v>300</v>
      </c>
      <c r="G63" s="429">
        <v>300</v>
      </c>
      <c r="H63" s="429">
        <v>300</v>
      </c>
      <c r="I63" s="429">
        <v>300</v>
      </c>
      <c r="J63" s="429">
        <v>300</v>
      </c>
      <c r="K63" s="129">
        <v>8000</v>
      </c>
      <c r="L63" s="454">
        <v>600</v>
      </c>
      <c r="M63" s="454">
        <v>600</v>
      </c>
      <c r="N63" s="731"/>
      <c r="O63" s="427">
        <f t="shared" ref="O63:O69" si="15">SUM(B63:M63)</f>
        <v>11900</v>
      </c>
    </row>
    <row r="64" spans="1:15" ht="33" customHeight="1" thickBot="1" x14ac:dyDescent="0.25">
      <c r="A64" s="428" t="s">
        <v>34</v>
      </c>
      <c r="B64" s="429"/>
      <c r="C64" s="429">
        <v>100</v>
      </c>
      <c r="D64" s="429">
        <v>100</v>
      </c>
      <c r="E64" s="429">
        <v>100</v>
      </c>
      <c r="F64" s="429">
        <v>100</v>
      </c>
      <c r="G64" s="429">
        <v>100</v>
      </c>
      <c r="H64" s="429">
        <v>100</v>
      </c>
      <c r="I64" s="429">
        <v>100</v>
      </c>
      <c r="J64" s="429">
        <v>100</v>
      </c>
      <c r="K64" s="130">
        <v>500</v>
      </c>
      <c r="L64" s="454">
        <v>100</v>
      </c>
      <c r="M64" s="454">
        <v>100</v>
      </c>
      <c r="N64" s="732"/>
      <c r="O64" s="427">
        <f t="shared" si="15"/>
        <v>1500</v>
      </c>
    </row>
    <row r="65" spans="1:15" ht="33" customHeight="1" thickBot="1" x14ac:dyDescent="0.25">
      <c r="A65" s="431" t="s">
        <v>79</v>
      </c>
      <c r="B65" s="432">
        <v>700</v>
      </c>
      <c r="C65" s="432">
        <v>700</v>
      </c>
      <c r="D65" s="432">
        <v>700</v>
      </c>
      <c r="E65" s="432">
        <v>700</v>
      </c>
      <c r="F65" s="432">
        <v>2000</v>
      </c>
      <c r="G65" s="432">
        <v>700</v>
      </c>
      <c r="H65" s="432">
        <v>700</v>
      </c>
      <c r="I65" s="432">
        <v>700</v>
      </c>
      <c r="J65" s="432">
        <v>700</v>
      </c>
      <c r="K65" s="394">
        <v>300</v>
      </c>
      <c r="L65" s="455">
        <v>300</v>
      </c>
      <c r="M65" s="455">
        <v>300</v>
      </c>
      <c r="N65" s="732"/>
      <c r="O65" s="427">
        <f t="shared" si="15"/>
        <v>8500</v>
      </c>
    </row>
    <row r="66" spans="1:15" ht="44" customHeight="1" thickBot="1" x14ac:dyDescent="0.25">
      <c r="A66" s="405" t="s">
        <v>137</v>
      </c>
      <c r="B66" s="406">
        <f>SUM(B63:B65)</f>
        <v>1000</v>
      </c>
      <c r="C66" s="406">
        <f t="shared" ref="C66:J66" si="16">SUM(C63:C65)</f>
        <v>1100</v>
      </c>
      <c r="D66" s="406">
        <f t="shared" si="16"/>
        <v>1100</v>
      </c>
      <c r="E66" s="406">
        <f t="shared" si="16"/>
        <v>1100</v>
      </c>
      <c r="F66" s="406">
        <f t="shared" si="16"/>
        <v>2400</v>
      </c>
      <c r="G66" s="406">
        <f t="shared" si="16"/>
        <v>1100</v>
      </c>
      <c r="H66" s="406">
        <f t="shared" si="16"/>
        <v>1100</v>
      </c>
      <c r="I66" s="406">
        <f t="shared" si="16"/>
        <v>1100</v>
      </c>
      <c r="J66" s="406">
        <f t="shared" si="16"/>
        <v>1100</v>
      </c>
      <c r="K66" s="407">
        <f>SUM(K63:K65)</f>
        <v>8800</v>
      </c>
      <c r="L66" s="408">
        <f>SUM(L63:L65)</f>
        <v>1000</v>
      </c>
      <c r="M66" s="408">
        <f>SUM(M63:M65)</f>
        <v>1000</v>
      </c>
      <c r="N66" s="790"/>
      <c r="O66" s="412">
        <f>SUM(O63:O65)</f>
        <v>21900</v>
      </c>
    </row>
    <row r="67" spans="1:15" ht="42" customHeight="1" thickBot="1" x14ac:dyDescent="0.25">
      <c r="A67" s="803" t="s">
        <v>145</v>
      </c>
      <c r="B67" s="804"/>
      <c r="C67" s="804"/>
      <c r="D67" s="804"/>
      <c r="E67" s="804"/>
      <c r="F67" s="804"/>
      <c r="G67" s="804"/>
      <c r="H67" s="804"/>
      <c r="I67" s="804"/>
      <c r="J67" s="804"/>
      <c r="K67" s="804"/>
      <c r="L67" s="804"/>
      <c r="M67" s="805"/>
      <c r="N67" s="732"/>
      <c r="O67" s="414"/>
    </row>
    <row r="68" spans="1:15" ht="33" customHeight="1" thickBot="1" x14ac:dyDescent="0.25">
      <c r="A68" s="428"/>
      <c r="B68" s="456"/>
      <c r="C68" s="456"/>
      <c r="D68" s="456"/>
      <c r="E68" s="456"/>
      <c r="F68" s="456"/>
      <c r="G68" s="456"/>
      <c r="H68" s="456"/>
      <c r="I68" s="456"/>
      <c r="J68" s="456"/>
      <c r="K68" s="130"/>
      <c r="L68" s="454"/>
      <c r="M68" s="454"/>
      <c r="N68" s="732"/>
      <c r="O68" s="427"/>
    </row>
    <row r="69" spans="1:15" ht="32" customHeight="1" thickBot="1" x14ac:dyDescent="0.25">
      <c r="A69" s="431" t="s">
        <v>146</v>
      </c>
      <c r="B69" s="432">
        <v>50</v>
      </c>
      <c r="C69" s="432">
        <v>50</v>
      </c>
      <c r="D69" s="432">
        <v>50</v>
      </c>
      <c r="E69" s="432">
        <v>50</v>
      </c>
      <c r="F69" s="432">
        <v>50</v>
      </c>
      <c r="G69" s="432">
        <v>50</v>
      </c>
      <c r="H69" s="432">
        <v>50</v>
      </c>
      <c r="I69" s="432">
        <v>50</v>
      </c>
      <c r="J69" s="432">
        <v>50</v>
      </c>
      <c r="K69" s="520">
        <v>50</v>
      </c>
      <c r="L69" s="455">
        <v>50</v>
      </c>
      <c r="M69" s="455">
        <v>50</v>
      </c>
      <c r="N69" s="731"/>
      <c r="O69" s="427">
        <f t="shared" si="15"/>
        <v>600</v>
      </c>
    </row>
    <row r="70" spans="1:15" ht="43" customHeight="1" thickBot="1" x14ac:dyDescent="0.25">
      <c r="A70" s="404" t="s">
        <v>137</v>
      </c>
      <c r="B70" s="381">
        <f>SUM(B68:B69)</f>
        <v>50</v>
      </c>
      <c r="C70" s="381">
        <f t="shared" ref="C70:J70" si="17">SUM(C68:C69)</f>
        <v>50</v>
      </c>
      <c r="D70" s="381">
        <f t="shared" si="17"/>
        <v>50</v>
      </c>
      <c r="E70" s="381">
        <f t="shared" si="17"/>
        <v>50</v>
      </c>
      <c r="F70" s="381">
        <f t="shared" si="17"/>
        <v>50</v>
      </c>
      <c r="G70" s="381">
        <f t="shared" si="17"/>
        <v>50</v>
      </c>
      <c r="H70" s="381">
        <f t="shared" si="17"/>
        <v>50</v>
      </c>
      <c r="I70" s="381">
        <f t="shared" si="17"/>
        <v>50</v>
      </c>
      <c r="J70" s="381">
        <f t="shared" si="17"/>
        <v>50</v>
      </c>
      <c r="K70" s="383">
        <f>SUM(K68:K69)</f>
        <v>50</v>
      </c>
      <c r="L70" s="381">
        <f>SUM(L68:L69)</f>
        <v>50</v>
      </c>
      <c r="M70" s="381">
        <f>SUM(M68:M69)</f>
        <v>50</v>
      </c>
      <c r="N70" s="791"/>
      <c r="O70" s="412">
        <f>SUM(O68:O69)</f>
        <v>600</v>
      </c>
    </row>
    <row r="71" spans="1:15" ht="50" customHeight="1" thickTop="1" thickBot="1" x14ac:dyDescent="0.25">
      <c r="A71" s="462" t="s">
        <v>148</v>
      </c>
      <c r="B71" s="463">
        <f>SUM(B7+B17+B24+B36+B44+B48+B52+B57+B61+B66+B70)</f>
        <v>4713</v>
      </c>
      <c r="C71" s="463">
        <f t="shared" ref="C71:I71" si="18">SUM(C7+C17+C24+C36+C44+C48+C52+C57+C61+C66+C70)</f>
        <v>4713</v>
      </c>
      <c r="D71" s="463">
        <f t="shared" si="18"/>
        <v>4683</v>
      </c>
      <c r="E71" s="463">
        <f t="shared" si="18"/>
        <v>4733</v>
      </c>
      <c r="F71" s="463">
        <f t="shared" si="18"/>
        <v>6163</v>
      </c>
      <c r="G71" s="463">
        <f t="shared" si="18"/>
        <v>4733</v>
      </c>
      <c r="H71" s="463">
        <f t="shared" si="18"/>
        <v>4713</v>
      </c>
      <c r="I71" s="463">
        <f t="shared" si="18"/>
        <v>4713</v>
      </c>
      <c r="J71" s="463">
        <f>SUM(J7+J17+J24+J36+J44++J48+J52+J61+J66+J70)</f>
        <v>4783</v>
      </c>
      <c r="K71" s="464">
        <f>SUM(K7+K17+K24+K36+K44++K48+K52+K61+K66+K70)</f>
        <v>12426</v>
      </c>
      <c r="L71" s="463">
        <f>SUM(L7+L17+L24+L36+L44++L48+L52+L61+L66+L70)</f>
        <v>4651</v>
      </c>
      <c r="M71" s="463">
        <f>SUM(M7+M17+M24+M36+M44++M48+M52+M61+M66+M70)</f>
        <v>4651</v>
      </c>
      <c r="N71" s="795"/>
      <c r="O71" s="466">
        <f t="shared" ref="O71:O80" si="19">SUM(B71:M71)</f>
        <v>65675</v>
      </c>
    </row>
    <row r="72" spans="1:15" ht="41" customHeight="1" thickBot="1" x14ac:dyDescent="0.25">
      <c r="A72" s="806" t="s">
        <v>149</v>
      </c>
      <c r="B72" s="807"/>
      <c r="C72" s="807"/>
      <c r="D72" s="807"/>
      <c r="E72" s="807"/>
      <c r="F72" s="807"/>
      <c r="G72" s="807"/>
      <c r="H72" s="807"/>
      <c r="I72" s="807"/>
      <c r="J72" s="807"/>
      <c r="K72" s="807"/>
      <c r="L72" s="807"/>
      <c r="M72" s="808"/>
      <c r="N72" s="796"/>
      <c r="O72" s="465"/>
    </row>
    <row r="73" spans="1:15" ht="33" customHeight="1" thickBot="1" x14ac:dyDescent="0.25">
      <c r="A73" s="490" t="s">
        <v>41</v>
      </c>
      <c r="B73" s="491">
        <v>5000</v>
      </c>
      <c r="C73" s="491">
        <v>5000</v>
      </c>
      <c r="D73" s="491">
        <v>5000</v>
      </c>
      <c r="E73" s="491">
        <v>5000</v>
      </c>
      <c r="F73" s="491">
        <v>6900</v>
      </c>
      <c r="G73" s="491">
        <v>5000</v>
      </c>
      <c r="H73" s="491">
        <v>5000</v>
      </c>
      <c r="I73" s="491">
        <v>5000</v>
      </c>
      <c r="J73" s="491">
        <v>5000</v>
      </c>
      <c r="K73" s="492">
        <v>14500</v>
      </c>
      <c r="L73" s="493">
        <v>5200</v>
      </c>
      <c r="M73" s="493">
        <v>5200</v>
      </c>
      <c r="N73" s="746"/>
      <c r="O73" s="494">
        <f t="shared" si="19"/>
        <v>71800</v>
      </c>
    </row>
    <row r="74" spans="1:15" ht="30" customHeight="1" thickBot="1" x14ac:dyDescent="0.25">
      <c r="A74" s="490" t="s">
        <v>82</v>
      </c>
      <c r="B74" s="495"/>
      <c r="C74" s="495"/>
      <c r="D74" s="495"/>
      <c r="E74" s="495"/>
      <c r="F74" s="495"/>
      <c r="G74" s="495"/>
      <c r="H74" s="495"/>
      <c r="I74" s="495"/>
      <c r="J74" s="495"/>
      <c r="K74" s="496"/>
      <c r="L74" s="497"/>
      <c r="M74" s="497"/>
      <c r="N74" s="747"/>
      <c r="O74" s="494">
        <f t="shared" si="19"/>
        <v>0</v>
      </c>
    </row>
    <row r="75" spans="1:15" ht="29" customHeight="1" thickBot="1" x14ac:dyDescent="0.25">
      <c r="A75" s="490" t="s">
        <v>35</v>
      </c>
      <c r="B75" s="491"/>
      <c r="C75" s="491"/>
      <c r="D75" s="491"/>
      <c r="E75" s="491"/>
      <c r="F75" s="491"/>
      <c r="G75" s="498"/>
      <c r="H75" s="491"/>
      <c r="I75" s="491"/>
      <c r="J75" s="491"/>
      <c r="K75" s="492"/>
      <c r="L75" s="493"/>
      <c r="M75" s="493"/>
      <c r="N75" s="746"/>
      <c r="O75" s="494">
        <f t="shared" si="19"/>
        <v>0</v>
      </c>
    </row>
    <row r="76" spans="1:15" ht="30" customHeight="1" thickBot="1" x14ac:dyDescent="0.25">
      <c r="A76" s="499" t="s">
        <v>36</v>
      </c>
      <c r="B76" s="500">
        <v>800</v>
      </c>
      <c r="C76" s="500"/>
      <c r="D76" s="500"/>
      <c r="E76" s="501"/>
      <c r="F76" s="501"/>
      <c r="G76" s="502"/>
      <c r="H76" s="501"/>
      <c r="I76" s="501"/>
      <c r="J76" s="501"/>
      <c r="K76" s="503"/>
      <c r="L76" s="504"/>
      <c r="M76" s="504"/>
      <c r="N76" s="746"/>
      <c r="O76" s="494">
        <f t="shared" si="19"/>
        <v>800</v>
      </c>
    </row>
    <row r="77" spans="1:15" ht="61" customHeight="1" thickBot="1" x14ac:dyDescent="0.25">
      <c r="A77" s="415" t="s">
        <v>152</v>
      </c>
      <c r="B77" s="416">
        <f t="shared" ref="B77:M77" si="20">SUM(B73:B76)</f>
        <v>5800</v>
      </c>
      <c r="C77" s="416">
        <f t="shared" si="20"/>
        <v>5000</v>
      </c>
      <c r="D77" s="416">
        <f t="shared" si="20"/>
        <v>5000</v>
      </c>
      <c r="E77" s="416">
        <f t="shared" si="20"/>
        <v>5000</v>
      </c>
      <c r="F77" s="416">
        <f t="shared" si="20"/>
        <v>6900</v>
      </c>
      <c r="G77" s="417">
        <f t="shared" si="20"/>
        <v>5000</v>
      </c>
      <c r="H77" s="416">
        <f t="shared" si="20"/>
        <v>5000</v>
      </c>
      <c r="I77" s="416">
        <f t="shared" si="20"/>
        <v>5000</v>
      </c>
      <c r="J77" s="416">
        <f t="shared" si="20"/>
        <v>5000</v>
      </c>
      <c r="K77" s="420">
        <f t="shared" si="20"/>
        <v>14500</v>
      </c>
      <c r="L77" s="418">
        <f t="shared" si="20"/>
        <v>5200</v>
      </c>
      <c r="M77" s="418">
        <f t="shared" si="20"/>
        <v>5200</v>
      </c>
      <c r="N77" s="740"/>
      <c r="O77" s="419">
        <f t="shared" si="19"/>
        <v>72600</v>
      </c>
    </row>
    <row r="78" spans="1:15" ht="51" customHeight="1" thickBot="1" x14ac:dyDescent="0.25">
      <c r="A78" s="839" t="s">
        <v>150</v>
      </c>
      <c r="B78" s="840"/>
      <c r="C78" s="840"/>
      <c r="D78" s="840"/>
      <c r="E78" s="840"/>
      <c r="F78" s="840"/>
      <c r="G78" s="840"/>
      <c r="H78" s="840"/>
      <c r="I78" s="840"/>
      <c r="J78" s="840"/>
      <c r="K78" s="840"/>
      <c r="L78" s="840"/>
      <c r="M78" s="841"/>
      <c r="N78" s="747"/>
      <c r="O78" s="516"/>
    </row>
    <row r="79" spans="1:15" ht="23" customHeight="1" thickBot="1" x14ac:dyDescent="0.25">
      <c r="A79" s="843"/>
      <c r="B79" s="844"/>
      <c r="C79" s="844"/>
      <c r="D79" s="844"/>
      <c r="E79" s="844"/>
      <c r="F79" s="844"/>
      <c r="G79" s="844"/>
      <c r="H79" s="844"/>
      <c r="I79" s="844"/>
      <c r="J79" s="845"/>
      <c r="K79" s="411"/>
      <c r="L79" s="846"/>
      <c r="M79" s="847"/>
      <c r="N79" s="747"/>
      <c r="O79" s="461"/>
    </row>
    <row r="80" spans="1:15" s="486" customFormat="1" ht="53" customHeight="1" thickBot="1" x14ac:dyDescent="0.25">
      <c r="A80" s="479" t="s">
        <v>50</v>
      </c>
      <c r="B80" s="480">
        <f>(B77-B71-'[1]House DECO &amp; REPAIR 25'!$C$32)</f>
        <v>1087</v>
      </c>
      <c r="C80" s="480">
        <f>(C77-C71-'[1]House DECO &amp; REPAIR 25'!$D$32)</f>
        <v>287</v>
      </c>
      <c r="D80" s="480">
        <f>(D77-D71-'[1]House DECO &amp; REPAIR 25'!$E$32)</f>
        <v>317</v>
      </c>
      <c r="E80" s="481">
        <f>(E77-E71-'[1]House DECO &amp; REPAIR 25'!$F$32)</f>
        <v>267</v>
      </c>
      <c r="F80" s="481">
        <f>(F77-F71-'[1]House DECO &amp; REPAIR 25'!$G$32)</f>
        <v>737</v>
      </c>
      <c r="G80" s="482">
        <f t="shared" ref="G80:M80" si="21">(G77-G71)</f>
        <v>267</v>
      </c>
      <c r="H80" s="481">
        <f t="shared" si="21"/>
        <v>287</v>
      </c>
      <c r="I80" s="481">
        <f t="shared" si="21"/>
        <v>287</v>
      </c>
      <c r="J80" s="481">
        <f t="shared" si="21"/>
        <v>217</v>
      </c>
      <c r="K80" s="483">
        <f t="shared" si="21"/>
        <v>2074</v>
      </c>
      <c r="L80" s="484">
        <f t="shared" si="21"/>
        <v>549</v>
      </c>
      <c r="M80" s="484">
        <f t="shared" si="21"/>
        <v>549</v>
      </c>
      <c r="N80" s="747"/>
      <c r="O80" s="485">
        <f t="shared" si="19"/>
        <v>6925</v>
      </c>
    </row>
    <row r="81" spans="5:15" ht="25" customHeight="1" thickTop="1" x14ac:dyDescent="0.2">
      <c r="E81" s="33"/>
      <c r="F81" s="33"/>
      <c r="G81" s="33"/>
      <c r="H81" s="33"/>
      <c r="I81" s="33"/>
      <c r="J81" s="33"/>
      <c r="K81" s="36"/>
      <c r="L81" s="797" t="s">
        <v>63</v>
      </c>
      <c r="M81" s="798"/>
      <c r="N81" s="799"/>
      <c r="O81" s="816">
        <f>SUM(O4:O80)</f>
        <v>349390</v>
      </c>
    </row>
    <row r="82" spans="5:15" ht="25" customHeight="1" thickBot="1" x14ac:dyDescent="0.25">
      <c r="E82" s="34"/>
      <c r="F82" s="34"/>
      <c r="G82" s="34"/>
      <c r="H82" s="34"/>
      <c r="I82" s="34"/>
      <c r="J82" s="34"/>
      <c r="K82" s="35"/>
      <c r="L82" s="800"/>
      <c r="M82" s="801"/>
      <c r="N82" s="802"/>
      <c r="O82" s="817"/>
    </row>
    <row r="83" spans="5:15" ht="25" customHeight="1" thickBot="1" x14ac:dyDescent="0.25">
      <c r="E83" s="37"/>
      <c r="F83" s="37"/>
      <c r="G83" s="37"/>
      <c r="H83" s="37"/>
      <c r="I83" s="37"/>
      <c r="J83" s="37"/>
      <c r="K83" s="38"/>
      <c r="L83" s="783" t="s">
        <v>64</v>
      </c>
      <c r="M83" s="784"/>
      <c r="N83" s="785"/>
      <c r="O83" s="487">
        <f>SUM(O66+O70)</f>
        <v>22500</v>
      </c>
    </row>
    <row r="84" spans="5:15" ht="38" customHeight="1" thickBot="1" x14ac:dyDescent="0.25">
      <c r="E84" s="39"/>
      <c r="F84" s="39"/>
      <c r="G84" s="39"/>
      <c r="H84" s="39"/>
      <c r="I84" s="39"/>
      <c r="J84" s="39"/>
      <c r="K84" s="40"/>
      <c r="L84" s="786" t="s">
        <v>42</v>
      </c>
      <c r="M84" s="787"/>
      <c r="N84" s="788"/>
      <c r="O84" s="529">
        <f>SUM(B80:M80)</f>
        <v>6925</v>
      </c>
    </row>
    <row r="85" spans="5:15" ht="35" customHeight="1" thickTop="1" x14ac:dyDescent="0.2"/>
    <row r="86" spans="5:15" ht="31" customHeight="1" x14ac:dyDescent="0.2"/>
  </sheetData>
  <mergeCells count="21">
    <mergeCell ref="A62:M62"/>
    <mergeCell ref="A67:M67"/>
    <mergeCell ref="N71:N80"/>
    <mergeCell ref="A72:M72"/>
    <mergeCell ref="A78:M78"/>
    <mergeCell ref="N1:N70"/>
    <mergeCell ref="A3:M3"/>
    <mergeCell ref="A8:M8"/>
    <mergeCell ref="A18:M18"/>
    <mergeCell ref="A25:M25"/>
    <mergeCell ref="A37:M37"/>
    <mergeCell ref="A45:M45"/>
    <mergeCell ref="A49:M49"/>
    <mergeCell ref="A53:M53"/>
    <mergeCell ref="A58:M58"/>
    <mergeCell ref="O81:O82"/>
    <mergeCell ref="L83:N83"/>
    <mergeCell ref="L84:N84"/>
    <mergeCell ref="A79:J79"/>
    <mergeCell ref="L79:M79"/>
    <mergeCell ref="L81:N8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BE04-C318-D844-9B93-3AF762900FB5}">
  <sheetPr>
    <tabColor rgb="FF002060"/>
  </sheetPr>
  <dimension ref="A1:O86"/>
  <sheetViews>
    <sheetView topLeftCell="A72" zoomScale="75" zoomScaleNormal="75" workbookViewId="0">
      <selection activeCell="O84" sqref="O84"/>
    </sheetView>
  </sheetViews>
  <sheetFormatPr baseColWidth="10" defaultColWidth="11.28515625" defaultRowHeight="25" customHeight="1" x14ac:dyDescent="0.2"/>
  <cols>
    <col min="1" max="1" width="23.140625" style="56" bestFit="1" customWidth="1"/>
    <col min="2" max="2" width="18.7109375" style="10" customWidth="1"/>
    <col min="3" max="3" width="16" style="10" customWidth="1"/>
    <col min="4" max="4" width="15.42578125" style="10" customWidth="1"/>
    <col min="5" max="6" width="16.140625" style="10" customWidth="1"/>
    <col min="7" max="7" width="20" style="22" customWidth="1"/>
    <col min="8" max="8" width="17.5703125" style="10" customWidth="1"/>
    <col min="9" max="9" width="16.140625" style="10" customWidth="1"/>
    <col min="10" max="10" width="17.7109375" style="10" customWidth="1"/>
    <col min="11" max="11" width="17.7109375" style="22" customWidth="1"/>
    <col min="12" max="13" width="16.140625" style="10" customWidth="1"/>
    <col min="14" max="14" width="9.7109375" style="10" customWidth="1"/>
    <col min="15" max="15" width="26" style="10" customWidth="1"/>
    <col min="16" max="16" width="27.85546875" style="10" customWidth="1"/>
    <col min="17" max="26" width="10.5703125" style="10" customWidth="1"/>
    <col min="27" max="16384" width="11.28515625" style="10"/>
  </cols>
  <sheetData>
    <row r="1" spans="1:15" ht="44" customHeight="1" thickTop="1" thickBot="1" x14ac:dyDescent="0.25">
      <c r="A1" s="467" t="s">
        <v>161</v>
      </c>
      <c r="B1" s="468" t="s">
        <v>6</v>
      </c>
      <c r="C1" s="468" t="s">
        <v>7</v>
      </c>
      <c r="D1" s="469" t="s">
        <v>8</v>
      </c>
      <c r="E1" s="470" t="s">
        <v>9</v>
      </c>
      <c r="F1" s="126" t="s">
        <v>10</v>
      </c>
      <c r="G1" s="471" t="s">
        <v>2</v>
      </c>
      <c r="H1" s="126" t="s">
        <v>60</v>
      </c>
      <c r="I1" s="126" t="s">
        <v>3</v>
      </c>
      <c r="J1" s="126" t="s">
        <v>61</v>
      </c>
      <c r="K1" s="126" t="s">
        <v>4</v>
      </c>
      <c r="L1" s="126" t="s">
        <v>62</v>
      </c>
      <c r="M1" s="126" t="s">
        <v>5</v>
      </c>
      <c r="N1" s="730"/>
      <c r="O1" s="472" t="s">
        <v>151</v>
      </c>
    </row>
    <row r="2" spans="1:15" ht="29" customHeight="1" thickBot="1" x14ac:dyDescent="0.25">
      <c r="A2" s="474"/>
      <c r="B2" s="475"/>
      <c r="C2" s="475"/>
      <c r="D2" s="476"/>
      <c r="E2" s="476"/>
      <c r="F2" s="476"/>
      <c r="G2" s="477"/>
      <c r="H2" s="476"/>
      <c r="I2" s="476"/>
      <c r="J2" s="476"/>
      <c r="K2" s="473"/>
      <c r="L2" s="476"/>
      <c r="M2" s="476"/>
      <c r="N2" s="789"/>
      <c r="O2" s="478"/>
    </row>
    <row r="3" spans="1:15" ht="45" customHeight="1" thickBot="1" x14ac:dyDescent="0.25">
      <c r="A3" s="792" t="s">
        <v>139</v>
      </c>
      <c r="B3" s="793"/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4"/>
      <c r="N3" s="731"/>
      <c r="O3" s="413"/>
    </row>
    <row r="4" spans="1:15" ht="32" customHeight="1" thickBot="1" x14ac:dyDescent="0.25">
      <c r="A4" s="421" t="s">
        <v>11</v>
      </c>
      <c r="B4" s="422">
        <v>1110</v>
      </c>
      <c r="C4" s="422">
        <v>1110</v>
      </c>
      <c r="D4" s="422">
        <v>1110</v>
      </c>
      <c r="E4" s="422">
        <v>1110</v>
      </c>
      <c r="F4" s="422">
        <v>1110</v>
      </c>
      <c r="G4" s="422">
        <v>1110</v>
      </c>
      <c r="H4" s="422">
        <v>1110</v>
      </c>
      <c r="I4" s="422">
        <v>1110</v>
      </c>
      <c r="J4" s="422">
        <v>1110</v>
      </c>
      <c r="K4" s="131">
        <v>1110</v>
      </c>
      <c r="L4" s="425">
        <v>1175</v>
      </c>
      <c r="M4" s="425">
        <v>1175</v>
      </c>
      <c r="N4" s="731"/>
      <c r="O4" s="427">
        <f t="shared" ref="O4:O16" si="0">SUM(B4:M4)</f>
        <v>13450</v>
      </c>
    </row>
    <row r="5" spans="1:15" ht="31" customHeight="1" thickBot="1" x14ac:dyDescent="0.25">
      <c r="A5" s="421" t="s">
        <v>110</v>
      </c>
      <c r="B5" s="422">
        <v>825</v>
      </c>
      <c r="C5" s="422">
        <v>825</v>
      </c>
      <c r="D5" s="422">
        <v>825</v>
      </c>
      <c r="E5" s="422">
        <v>825</v>
      </c>
      <c r="F5" s="422">
        <v>825</v>
      </c>
      <c r="G5" s="422">
        <v>825</v>
      </c>
      <c r="H5" s="422">
        <v>825</v>
      </c>
      <c r="I5" s="422">
        <v>825</v>
      </c>
      <c r="J5" s="422">
        <v>825</v>
      </c>
      <c r="K5" s="131">
        <v>825</v>
      </c>
      <c r="L5" s="425">
        <v>825</v>
      </c>
      <c r="M5" s="425">
        <v>825</v>
      </c>
      <c r="N5" s="731"/>
      <c r="O5" s="427">
        <f t="shared" si="0"/>
        <v>9900</v>
      </c>
    </row>
    <row r="6" spans="1:15" ht="35" customHeight="1" thickBot="1" x14ac:dyDescent="0.25">
      <c r="A6" s="423" t="s">
        <v>13</v>
      </c>
      <c r="B6" s="424">
        <v>170</v>
      </c>
      <c r="C6" s="424">
        <v>170</v>
      </c>
      <c r="D6" s="424">
        <v>170</v>
      </c>
      <c r="E6" s="424">
        <v>170</v>
      </c>
      <c r="F6" s="424">
        <v>170</v>
      </c>
      <c r="G6" s="424">
        <v>170</v>
      </c>
      <c r="H6" s="424">
        <v>170</v>
      </c>
      <c r="I6" s="424">
        <v>170</v>
      </c>
      <c r="J6" s="424">
        <v>170</v>
      </c>
      <c r="K6" s="379">
        <v>170</v>
      </c>
      <c r="L6" s="426">
        <v>170</v>
      </c>
      <c r="M6" s="426">
        <v>170</v>
      </c>
      <c r="N6" s="731"/>
      <c r="O6" s="427">
        <f t="shared" si="0"/>
        <v>2040</v>
      </c>
    </row>
    <row r="7" spans="1:15" ht="39" customHeight="1" thickBot="1" x14ac:dyDescent="0.25">
      <c r="A7" s="380" t="s">
        <v>137</v>
      </c>
      <c r="B7" s="381">
        <f t="shared" ref="B7:M7" si="1">SUM(B4:B6)</f>
        <v>2105</v>
      </c>
      <c r="C7" s="381">
        <f t="shared" si="1"/>
        <v>2105</v>
      </c>
      <c r="D7" s="381">
        <f t="shared" si="1"/>
        <v>2105</v>
      </c>
      <c r="E7" s="381">
        <f t="shared" si="1"/>
        <v>2105</v>
      </c>
      <c r="F7" s="381">
        <f t="shared" si="1"/>
        <v>2105</v>
      </c>
      <c r="G7" s="382">
        <f t="shared" si="1"/>
        <v>2105</v>
      </c>
      <c r="H7" s="381">
        <f t="shared" si="1"/>
        <v>2105</v>
      </c>
      <c r="I7" s="381">
        <f t="shared" si="1"/>
        <v>2105</v>
      </c>
      <c r="J7" s="381">
        <f t="shared" si="1"/>
        <v>2105</v>
      </c>
      <c r="K7" s="383">
        <f t="shared" si="1"/>
        <v>2105</v>
      </c>
      <c r="L7" s="384">
        <f t="shared" si="1"/>
        <v>2170</v>
      </c>
      <c r="M7" s="384">
        <f t="shared" si="1"/>
        <v>2170</v>
      </c>
      <c r="N7" s="790"/>
      <c r="O7" s="412">
        <f>SUM(O4:O6)</f>
        <v>25390</v>
      </c>
    </row>
    <row r="8" spans="1:15" ht="41" customHeight="1" thickBot="1" x14ac:dyDescent="0.25">
      <c r="A8" s="818" t="s">
        <v>138</v>
      </c>
      <c r="B8" s="819"/>
      <c r="C8" s="819"/>
      <c r="D8" s="819"/>
      <c r="E8" s="819"/>
      <c r="F8" s="819"/>
      <c r="G8" s="819"/>
      <c r="H8" s="819"/>
      <c r="I8" s="819"/>
      <c r="J8" s="819"/>
      <c r="K8" s="819"/>
      <c r="L8" s="819"/>
      <c r="M8" s="820"/>
      <c r="N8" s="732"/>
      <c r="O8" s="414"/>
    </row>
    <row r="9" spans="1:15" ht="25" customHeight="1" thickBot="1" x14ac:dyDescent="0.25">
      <c r="A9" s="45" t="s">
        <v>14</v>
      </c>
      <c r="B9" s="155">
        <v>55</v>
      </c>
      <c r="C9" s="155">
        <v>55</v>
      </c>
      <c r="D9" s="155">
        <v>55</v>
      </c>
      <c r="E9" s="155">
        <v>55</v>
      </c>
      <c r="F9" s="155">
        <v>55</v>
      </c>
      <c r="G9" s="155">
        <v>55</v>
      </c>
      <c r="H9" s="155">
        <v>35</v>
      </c>
      <c r="I9" s="155">
        <v>35</v>
      </c>
      <c r="J9" s="155">
        <v>35</v>
      </c>
      <c r="K9" s="133">
        <v>35</v>
      </c>
      <c r="L9" s="155">
        <v>35</v>
      </c>
      <c r="M9" s="155">
        <v>35</v>
      </c>
      <c r="N9" s="731"/>
      <c r="O9" s="427">
        <f t="shared" si="0"/>
        <v>540</v>
      </c>
    </row>
    <row r="10" spans="1:15" ht="29" customHeight="1" thickBot="1" x14ac:dyDescent="0.25">
      <c r="A10" s="45" t="s">
        <v>133</v>
      </c>
      <c r="B10" s="155">
        <v>135</v>
      </c>
      <c r="C10" s="155">
        <v>135</v>
      </c>
      <c r="D10" s="155">
        <v>135</v>
      </c>
      <c r="E10" s="155">
        <v>135</v>
      </c>
      <c r="F10" s="155">
        <v>135</v>
      </c>
      <c r="G10" s="155">
        <v>135</v>
      </c>
      <c r="H10" s="155">
        <v>135</v>
      </c>
      <c r="I10" s="155">
        <v>135</v>
      </c>
      <c r="J10" s="155">
        <v>135</v>
      </c>
      <c r="K10" s="133">
        <v>160</v>
      </c>
      <c r="L10" s="155">
        <v>160</v>
      </c>
      <c r="M10" s="155">
        <v>160</v>
      </c>
      <c r="N10" s="731"/>
      <c r="O10" s="427">
        <f t="shared" si="0"/>
        <v>1695</v>
      </c>
    </row>
    <row r="11" spans="1:15" ht="25" customHeight="1" thickBot="1" x14ac:dyDescent="0.25">
      <c r="A11" s="45" t="s">
        <v>17</v>
      </c>
      <c r="B11" s="155">
        <v>70</v>
      </c>
      <c r="C11" s="155">
        <v>70</v>
      </c>
      <c r="D11" s="378">
        <v>70</v>
      </c>
      <c r="E11" s="155">
        <v>70</v>
      </c>
      <c r="F11" s="155">
        <v>70</v>
      </c>
      <c r="G11" s="155">
        <v>70</v>
      </c>
      <c r="H11" s="155">
        <v>70</v>
      </c>
      <c r="I11" s="155">
        <v>70</v>
      </c>
      <c r="J11" s="155">
        <v>70</v>
      </c>
      <c r="K11" s="133">
        <v>70</v>
      </c>
      <c r="L11" s="155">
        <v>70</v>
      </c>
      <c r="M11" s="155">
        <v>70</v>
      </c>
      <c r="N11" s="731"/>
      <c r="O11" s="427">
        <f t="shared" si="0"/>
        <v>840</v>
      </c>
    </row>
    <row r="12" spans="1:15" ht="25" customHeight="1" thickBot="1" x14ac:dyDescent="0.25">
      <c r="A12" s="45" t="s">
        <v>131</v>
      </c>
      <c r="B12" s="155">
        <v>40</v>
      </c>
      <c r="C12" s="155">
        <v>40</v>
      </c>
      <c r="D12" s="155">
        <v>40</v>
      </c>
      <c r="E12" s="155">
        <v>40</v>
      </c>
      <c r="F12" s="155">
        <v>40</v>
      </c>
      <c r="G12" s="155">
        <v>40</v>
      </c>
      <c r="H12" s="155">
        <v>40</v>
      </c>
      <c r="I12" s="155">
        <v>40</v>
      </c>
      <c r="J12" s="155">
        <v>40</v>
      </c>
      <c r="K12" s="133">
        <v>40</v>
      </c>
      <c r="L12" s="155">
        <v>40</v>
      </c>
      <c r="M12" s="155">
        <v>40</v>
      </c>
      <c r="N12" s="732"/>
      <c r="O12" s="427">
        <f t="shared" si="0"/>
        <v>480</v>
      </c>
    </row>
    <row r="13" spans="1:15" ht="25" customHeight="1" thickBot="1" x14ac:dyDescent="0.25">
      <c r="A13" s="45" t="s">
        <v>132</v>
      </c>
      <c r="B13" s="155">
        <v>15</v>
      </c>
      <c r="C13" s="155">
        <v>15</v>
      </c>
      <c r="D13" s="155">
        <v>15</v>
      </c>
      <c r="E13" s="155">
        <v>15</v>
      </c>
      <c r="F13" s="155">
        <v>15</v>
      </c>
      <c r="G13" s="155">
        <v>15</v>
      </c>
      <c r="H13" s="155">
        <v>15</v>
      </c>
      <c r="I13" s="155">
        <v>15</v>
      </c>
      <c r="J13" s="155">
        <v>15</v>
      </c>
      <c r="K13" s="133">
        <v>15</v>
      </c>
      <c r="L13" s="155">
        <v>15</v>
      </c>
      <c r="M13" s="155">
        <v>15</v>
      </c>
      <c r="N13" s="732"/>
      <c r="O13" s="427">
        <f t="shared" si="0"/>
        <v>180</v>
      </c>
    </row>
    <row r="14" spans="1:15" ht="25" customHeight="1" thickBot="1" x14ac:dyDescent="0.25">
      <c r="A14" s="45" t="s">
        <v>135</v>
      </c>
      <c r="B14" s="155">
        <v>30</v>
      </c>
      <c r="C14" s="155">
        <v>30</v>
      </c>
      <c r="D14" s="155">
        <v>30</v>
      </c>
      <c r="E14" s="155">
        <v>30</v>
      </c>
      <c r="F14" s="155">
        <v>30</v>
      </c>
      <c r="G14" s="155">
        <v>30</v>
      </c>
      <c r="H14" s="155">
        <v>30</v>
      </c>
      <c r="I14" s="155">
        <v>30</v>
      </c>
      <c r="J14" s="155">
        <v>30</v>
      </c>
      <c r="K14" s="133">
        <v>30</v>
      </c>
      <c r="L14" s="155">
        <v>30</v>
      </c>
      <c r="M14" s="155">
        <v>30</v>
      </c>
      <c r="N14" s="732"/>
      <c r="O14" s="427">
        <f t="shared" si="0"/>
        <v>360</v>
      </c>
    </row>
    <row r="15" spans="1:15" ht="25" customHeight="1" thickBot="1" x14ac:dyDescent="0.25">
      <c r="A15" s="45" t="s">
        <v>120</v>
      </c>
      <c r="B15" s="155">
        <v>25</v>
      </c>
      <c r="C15" s="155">
        <v>25</v>
      </c>
      <c r="D15" s="155">
        <v>25</v>
      </c>
      <c r="E15" s="155">
        <v>25</v>
      </c>
      <c r="F15" s="155">
        <v>25</v>
      </c>
      <c r="G15" s="155">
        <v>25</v>
      </c>
      <c r="H15" s="155">
        <v>25</v>
      </c>
      <c r="I15" s="155">
        <v>25</v>
      </c>
      <c r="J15" s="155">
        <v>25</v>
      </c>
      <c r="K15" s="133">
        <v>25</v>
      </c>
      <c r="L15" s="155">
        <v>25</v>
      </c>
      <c r="M15" s="155">
        <v>25</v>
      </c>
      <c r="N15" s="732"/>
      <c r="O15" s="427">
        <f t="shared" si="0"/>
        <v>300</v>
      </c>
    </row>
    <row r="16" spans="1:15" ht="25" customHeight="1" thickBot="1" x14ac:dyDescent="0.25">
      <c r="A16" s="45" t="s">
        <v>39</v>
      </c>
      <c r="B16" s="155">
        <v>15</v>
      </c>
      <c r="C16" s="155">
        <v>15</v>
      </c>
      <c r="D16" s="155">
        <v>15</v>
      </c>
      <c r="E16" s="155">
        <v>15</v>
      </c>
      <c r="F16" s="155">
        <v>15</v>
      </c>
      <c r="G16" s="155">
        <v>15</v>
      </c>
      <c r="H16" s="155">
        <v>15</v>
      </c>
      <c r="I16" s="155">
        <v>15</v>
      </c>
      <c r="J16" s="155">
        <v>15</v>
      </c>
      <c r="K16" s="133">
        <v>15</v>
      </c>
      <c r="L16" s="155">
        <v>15</v>
      </c>
      <c r="M16" s="155">
        <v>15</v>
      </c>
      <c r="N16" s="732"/>
      <c r="O16" s="427">
        <f t="shared" si="0"/>
        <v>180</v>
      </c>
    </row>
    <row r="17" spans="1:15" ht="41" customHeight="1" thickBot="1" x14ac:dyDescent="0.25">
      <c r="A17" s="389" t="s">
        <v>137</v>
      </c>
      <c r="B17" s="390">
        <f t="shared" ref="B17:M17" si="2">SUM(B9:B16)</f>
        <v>385</v>
      </c>
      <c r="C17" s="390">
        <f t="shared" si="2"/>
        <v>385</v>
      </c>
      <c r="D17" s="390">
        <f t="shared" si="2"/>
        <v>385</v>
      </c>
      <c r="E17" s="390">
        <f t="shared" si="2"/>
        <v>385</v>
      </c>
      <c r="F17" s="390">
        <f t="shared" si="2"/>
        <v>385</v>
      </c>
      <c r="G17" s="390">
        <f t="shared" si="2"/>
        <v>385</v>
      </c>
      <c r="H17" s="390">
        <f t="shared" si="2"/>
        <v>365</v>
      </c>
      <c r="I17" s="390">
        <f t="shared" si="2"/>
        <v>365</v>
      </c>
      <c r="J17" s="390">
        <f t="shared" si="2"/>
        <v>365</v>
      </c>
      <c r="K17" s="391">
        <f t="shared" si="2"/>
        <v>390</v>
      </c>
      <c r="L17" s="390">
        <f t="shared" si="2"/>
        <v>390</v>
      </c>
      <c r="M17" s="390">
        <f t="shared" si="2"/>
        <v>390</v>
      </c>
      <c r="N17" s="790"/>
      <c r="O17" s="412">
        <f>SUM(O9:O16)</f>
        <v>4575</v>
      </c>
    </row>
    <row r="18" spans="1:15" ht="38" customHeight="1" thickBot="1" x14ac:dyDescent="0.25">
      <c r="A18" s="809" t="s">
        <v>143</v>
      </c>
      <c r="B18" s="810"/>
      <c r="C18" s="810"/>
      <c r="D18" s="810"/>
      <c r="E18" s="810"/>
      <c r="F18" s="810"/>
      <c r="G18" s="810"/>
      <c r="H18" s="810"/>
      <c r="I18" s="810"/>
      <c r="J18" s="810"/>
      <c r="K18" s="810"/>
      <c r="L18" s="810"/>
      <c r="M18" s="811"/>
      <c r="N18" s="732"/>
      <c r="O18" s="414"/>
    </row>
    <row r="19" spans="1:15" ht="25" customHeight="1" thickBot="1" x14ac:dyDescent="0.25">
      <c r="A19" s="45" t="s">
        <v>153</v>
      </c>
      <c r="B19" s="155">
        <v>60</v>
      </c>
      <c r="C19" s="155">
        <v>60</v>
      </c>
      <c r="D19" s="155">
        <v>60</v>
      </c>
      <c r="E19" s="155">
        <v>60</v>
      </c>
      <c r="F19" s="155">
        <v>60</v>
      </c>
      <c r="G19" s="155">
        <v>60</v>
      </c>
      <c r="H19" s="155">
        <v>60</v>
      </c>
      <c r="I19" s="155">
        <v>60</v>
      </c>
      <c r="J19" s="155">
        <v>60</v>
      </c>
      <c r="K19" s="133">
        <v>60</v>
      </c>
      <c r="L19" s="155">
        <v>60</v>
      </c>
      <c r="M19" s="155">
        <v>60</v>
      </c>
      <c r="N19" s="731"/>
      <c r="O19" s="427">
        <f>SUM(B19:M19)</f>
        <v>720</v>
      </c>
    </row>
    <row r="20" spans="1:15" ht="25" customHeight="1" thickBot="1" x14ac:dyDescent="0.25">
      <c r="A20" s="45" t="s">
        <v>45</v>
      </c>
      <c r="B20" s="155">
        <v>20</v>
      </c>
      <c r="C20" s="155">
        <v>20</v>
      </c>
      <c r="D20" s="155">
        <v>20</v>
      </c>
      <c r="E20" s="155">
        <v>20</v>
      </c>
      <c r="F20" s="155">
        <v>20</v>
      </c>
      <c r="G20" s="155">
        <v>20</v>
      </c>
      <c r="H20" s="155">
        <v>20</v>
      </c>
      <c r="I20" s="155">
        <v>20</v>
      </c>
      <c r="J20" s="155">
        <v>20</v>
      </c>
      <c r="K20" s="133">
        <v>20</v>
      </c>
      <c r="L20" s="155">
        <v>20</v>
      </c>
      <c r="M20" s="155">
        <v>20</v>
      </c>
      <c r="N20" s="732"/>
      <c r="O20" s="427">
        <v>20</v>
      </c>
    </row>
    <row r="21" spans="1:15" ht="25" customHeight="1" thickBot="1" x14ac:dyDescent="0.25">
      <c r="A21" s="45" t="s">
        <v>1</v>
      </c>
      <c r="B21" s="155">
        <v>200</v>
      </c>
      <c r="C21" s="155">
        <v>200</v>
      </c>
      <c r="D21" s="155">
        <v>200</v>
      </c>
      <c r="E21" s="155">
        <v>200</v>
      </c>
      <c r="F21" s="155">
        <v>200</v>
      </c>
      <c r="G21" s="155">
        <v>200</v>
      </c>
      <c r="H21" s="155">
        <v>200</v>
      </c>
      <c r="I21" s="155">
        <v>200</v>
      </c>
      <c r="J21" s="155">
        <v>200</v>
      </c>
      <c r="K21" s="133">
        <v>300</v>
      </c>
      <c r="L21" s="155">
        <v>300</v>
      </c>
      <c r="M21" s="155">
        <v>300</v>
      </c>
      <c r="N21" s="731"/>
      <c r="O21" s="427">
        <f t="shared" ref="O21:O23" si="3">SUM(B21:M21)</f>
        <v>2700</v>
      </c>
    </row>
    <row r="22" spans="1:15" ht="25" customHeight="1" thickBot="1" x14ac:dyDescent="0.25">
      <c r="A22" s="45" t="s">
        <v>38</v>
      </c>
      <c r="B22" s="155">
        <v>70</v>
      </c>
      <c r="C22" s="155">
        <v>70</v>
      </c>
      <c r="D22" s="155">
        <v>70</v>
      </c>
      <c r="E22" s="155">
        <v>70</v>
      </c>
      <c r="F22" s="155">
        <v>70</v>
      </c>
      <c r="G22" s="155">
        <v>70</v>
      </c>
      <c r="H22" s="155">
        <v>70</v>
      </c>
      <c r="I22" s="155">
        <v>70</v>
      </c>
      <c r="J22" s="155">
        <v>70</v>
      </c>
      <c r="K22" s="133">
        <v>70</v>
      </c>
      <c r="L22" s="155">
        <v>70</v>
      </c>
      <c r="M22" s="155">
        <v>70</v>
      </c>
      <c r="N22" s="732"/>
      <c r="O22" s="427">
        <f t="shared" si="3"/>
        <v>840</v>
      </c>
    </row>
    <row r="23" spans="1:15" ht="25" customHeight="1" thickBot="1" x14ac:dyDescent="0.25">
      <c r="A23" s="45" t="s">
        <v>51</v>
      </c>
      <c r="B23" s="155">
        <v>250</v>
      </c>
      <c r="C23" s="155">
        <v>150</v>
      </c>
      <c r="D23" s="155">
        <v>100</v>
      </c>
      <c r="E23" s="155">
        <v>150</v>
      </c>
      <c r="F23" s="155">
        <v>280</v>
      </c>
      <c r="G23" s="155">
        <v>150</v>
      </c>
      <c r="H23" s="155">
        <v>150</v>
      </c>
      <c r="I23" s="155">
        <v>150</v>
      </c>
      <c r="J23" s="155">
        <v>280</v>
      </c>
      <c r="K23" s="133">
        <v>100</v>
      </c>
      <c r="L23" s="155">
        <v>100</v>
      </c>
      <c r="M23" s="155">
        <v>100</v>
      </c>
      <c r="N23" s="732"/>
      <c r="O23" s="427">
        <f t="shared" si="3"/>
        <v>1960</v>
      </c>
    </row>
    <row r="24" spans="1:15" ht="51" customHeight="1" thickBot="1" x14ac:dyDescent="0.25">
      <c r="A24" s="389" t="s">
        <v>137</v>
      </c>
      <c r="B24" s="390">
        <f t="shared" ref="B24:M24" si="4">SUM(B19:B23)</f>
        <v>600</v>
      </c>
      <c r="C24" s="390">
        <f t="shared" si="4"/>
        <v>500</v>
      </c>
      <c r="D24" s="390">
        <f t="shared" si="4"/>
        <v>450</v>
      </c>
      <c r="E24" s="390">
        <f t="shared" si="4"/>
        <v>500</v>
      </c>
      <c r="F24" s="390">
        <f t="shared" si="4"/>
        <v>630</v>
      </c>
      <c r="G24" s="390">
        <f t="shared" si="4"/>
        <v>500</v>
      </c>
      <c r="H24" s="390">
        <f t="shared" si="4"/>
        <v>500</v>
      </c>
      <c r="I24" s="390">
        <f t="shared" si="4"/>
        <v>500</v>
      </c>
      <c r="J24" s="390">
        <f t="shared" si="4"/>
        <v>630</v>
      </c>
      <c r="K24" s="391">
        <f t="shared" si="4"/>
        <v>550</v>
      </c>
      <c r="L24" s="390">
        <f t="shared" si="4"/>
        <v>550</v>
      </c>
      <c r="M24" s="390">
        <f t="shared" si="4"/>
        <v>550</v>
      </c>
      <c r="N24" s="790"/>
      <c r="O24" s="412">
        <f>SUM(O19:O23)</f>
        <v>6240</v>
      </c>
    </row>
    <row r="25" spans="1:15" ht="46" customHeight="1" thickBot="1" x14ac:dyDescent="0.25">
      <c r="A25" s="809" t="s">
        <v>140</v>
      </c>
      <c r="B25" s="810"/>
      <c r="C25" s="810"/>
      <c r="D25" s="810"/>
      <c r="E25" s="810"/>
      <c r="F25" s="810"/>
      <c r="G25" s="810"/>
      <c r="H25" s="810"/>
      <c r="I25" s="810"/>
      <c r="J25" s="810"/>
      <c r="K25" s="810"/>
      <c r="L25" s="810"/>
      <c r="M25" s="811"/>
      <c r="N25" s="732"/>
      <c r="O25" s="414"/>
    </row>
    <row r="26" spans="1:15" ht="25" customHeight="1" thickBot="1" x14ac:dyDescent="0.25">
      <c r="A26" s="45" t="s">
        <v>27</v>
      </c>
      <c r="B26" s="155"/>
      <c r="C26" s="155"/>
      <c r="D26" s="155"/>
      <c r="E26" s="155"/>
      <c r="F26" s="155"/>
      <c r="G26" s="155"/>
      <c r="H26" s="155"/>
      <c r="I26" s="155"/>
      <c r="J26" s="155"/>
      <c r="K26" s="127"/>
      <c r="L26" s="155"/>
      <c r="M26" s="155"/>
      <c r="N26" s="732"/>
      <c r="O26" s="427">
        <f>SUM(B26:M26)</f>
        <v>0</v>
      </c>
    </row>
    <row r="27" spans="1:15" ht="25" customHeight="1" thickBot="1" x14ac:dyDescent="0.25">
      <c r="A27" s="45" t="s">
        <v>124</v>
      </c>
      <c r="B27" s="155">
        <v>10</v>
      </c>
      <c r="C27" s="155">
        <v>10</v>
      </c>
      <c r="D27" s="155">
        <v>10</v>
      </c>
      <c r="E27" s="155">
        <v>10</v>
      </c>
      <c r="F27" s="155">
        <v>10</v>
      </c>
      <c r="G27" s="155">
        <v>10</v>
      </c>
      <c r="H27" s="155">
        <v>10</v>
      </c>
      <c r="I27" s="155">
        <v>10</v>
      </c>
      <c r="J27" s="155">
        <v>10</v>
      </c>
      <c r="K27" s="127">
        <v>10</v>
      </c>
      <c r="L27" s="155">
        <v>10</v>
      </c>
      <c r="M27" s="155">
        <v>10</v>
      </c>
      <c r="N27" s="732"/>
      <c r="O27" s="427">
        <f t="shared" ref="O27:O35" si="5">SUM(B27:M27)</f>
        <v>120</v>
      </c>
    </row>
    <row r="28" spans="1:15" ht="25" customHeight="1" thickBot="1" x14ac:dyDescent="0.25">
      <c r="A28" s="45" t="s">
        <v>43</v>
      </c>
      <c r="B28" s="155">
        <v>10</v>
      </c>
      <c r="C28" s="155">
        <v>10</v>
      </c>
      <c r="D28" s="155">
        <v>10</v>
      </c>
      <c r="E28" s="155">
        <v>10</v>
      </c>
      <c r="F28" s="155">
        <v>10</v>
      </c>
      <c r="G28" s="155">
        <v>10</v>
      </c>
      <c r="H28" s="155">
        <v>10</v>
      </c>
      <c r="I28" s="155">
        <v>10</v>
      </c>
      <c r="J28" s="155">
        <v>10</v>
      </c>
      <c r="K28" s="127">
        <v>10</v>
      </c>
      <c r="L28" s="155">
        <v>10</v>
      </c>
      <c r="M28" s="155">
        <v>10</v>
      </c>
      <c r="N28" s="732"/>
      <c r="O28" s="427">
        <f t="shared" si="5"/>
        <v>120</v>
      </c>
    </row>
    <row r="29" spans="1:15" ht="25" customHeight="1" thickBot="1" x14ac:dyDescent="0.25">
      <c r="A29" s="45" t="s">
        <v>119</v>
      </c>
      <c r="B29" s="155">
        <v>50</v>
      </c>
      <c r="C29" s="155">
        <v>50</v>
      </c>
      <c r="D29" s="155">
        <v>50</v>
      </c>
      <c r="E29" s="155">
        <v>50</v>
      </c>
      <c r="F29" s="155">
        <v>50</v>
      </c>
      <c r="G29" s="155">
        <v>50</v>
      </c>
      <c r="H29" s="155">
        <v>50</v>
      </c>
      <c r="I29" s="155">
        <v>50</v>
      </c>
      <c r="J29" s="155">
        <v>50</v>
      </c>
      <c r="K29" s="127">
        <v>50</v>
      </c>
      <c r="L29" s="155">
        <v>50</v>
      </c>
      <c r="M29" s="155">
        <v>50</v>
      </c>
      <c r="N29" s="732"/>
      <c r="O29" s="427">
        <f t="shared" si="5"/>
        <v>600</v>
      </c>
    </row>
    <row r="30" spans="1:15" ht="25" customHeight="1" thickBot="1" x14ac:dyDescent="0.25">
      <c r="A30" s="45" t="s">
        <v>154</v>
      </c>
      <c r="B30" s="155">
        <v>5</v>
      </c>
      <c r="C30" s="155">
        <v>5</v>
      </c>
      <c r="D30" s="155">
        <v>5</v>
      </c>
      <c r="E30" s="155">
        <v>5</v>
      </c>
      <c r="F30" s="155">
        <v>5</v>
      </c>
      <c r="G30" s="155">
        <v>5</v>
      </c>
      <c r="H30" s="155">
        <v>5</v>
      </c>
      <c r="I30" s="155">
        <v>5</v>
      </c>
      <c r="J30" s="155">
        <v>5</v>
      </c>
      <c r="K30" s="127">
        <v>5</v>
      </c>
      <c r="L30" s="155">
        <v>5</v>
      </c>
      <c r="M30" s="155">
        <v>5</v>
      </c>
      <c r="N30" s="732"/>
      <c r="O30" s="427">
        <f t="shared" si="5"/>
        <v>60</v>
      </c>
    </row>
    <row r="31" spans="1:15" ht="25" customHeight="1" thickBot="1" x14ac:dyDescent="0.25">
      <c r="A31" s="45" t="s">
        <v>19</v>
      </c>
      <c r="B31" s="155">
        <v>15</v>
      </c>
      <c r="C31" s="155">
        <v>15</v>
      </c>
      <c r="D31" s="155">
        <v>15</v>
      </c>
      <c r="E31" s="155">
        <v>15</v>
      </c>
      <c r="F31" s="155">
        <v>15</v>
      </c>
      <c r="G31" s="155">
        <v>15</v>
      </c>
      <c r="H31" s="155">
        <v>15</v>
      </c>
      <c r="I31" s="155">
        <v>15</v>
      </c>
      <c r="J31" s="155">
        <v>15</v>
      </c>
      <c r="K31" s="127">
        <v>15</v>
      </c>
      <c r="L31" s="155">
        <v>15</v>
      </c>
      <c r="M31" s="155">
        <v>15</v>
      </c>
      <c r="N31" s="732"/>
      <c r="O31" s="427">
        <f t="shared" si="5"/>
        <v>180</v>
      </c>
    </row>
    <row r="32" spans="1:15" ht="25" customHeight="1" thickBot="1" x14ac:dyDescent="0.25">
      <c r="A32" s="45" t="s">
        <v>85</v>
      </c>
      <c r="B32" s="155">
        <v>20</v>
      </c>
      <c r="C32" s="155">
        <v>20</v>
      </c>
      <c r="D32" s="155">
        <v>20</v>
      </c>
      <c r="E32" s="155">
        <v>20</v>
      </c>
      <c r="F32" s="155">
        <v>20</v>
      </c>
      <c r="G32" s="155">
        <v>20</v>
      </c>
      <c r="H32" s="155">
        <v>20</v>
      </c>
      <c r="I32" s="155">
        <v>20</v>
      </c>
      <c r="J32" s="155">
        <v>20</v>
      </c>
      <c r="K32" s="127">
        <v>20</v>
      </c>
      <c r="L32" s="155">
        <v>20</v>
      </c>
      <c r="M32" s="155">
        <v>20</v>
      </c>
      <c r="N32" s="732"/>
      <c r="O32" s="427">
        <f t="shared" si="5"/>
        <v>240</v>
      </c>
    </row>
    <row r="33" spans="1:15" ht="25" customHeight="1" thickBot="1" x14ac:dyDescent="0.25">
      <c r="A33" s="45" t="s">
        <v>66</v>
      </c>
      <c r="B33" s="155">
        <v>8</v>
      </c>
      <c r="C33" s="155">
        <v>8</v>
      </c>
      <c r="D33" s="155">
        <v>8</v>
      </c>
      <c r="E33" s="155">
        <v>8</v>
      </c>
      <c r="F33" s="155">
        <v>8</v>
      </c>
      <c r="G33" s="155">
        <v>8</v>
      </c>
      <c r="H33" s="155">
        <v>8</v>
      </c>
      <c r="I33" s="155">
        <v>8</v>
      </c>
      <c r="J33" s="155">
        <v>8</v>
      </c>
      <c r="K33" s="127">
        <v>6</v>
      </c>
      <c r="L33" s="155">
        <v>6</v>
      </c>
      <c r="M33" s="155">
        <v>6</v>
      </c>
      <c r="N33" s="732"/>
      <c r="O33" s="427">
        <f t="shared" si="5"/>
        <v>90</v>
      </c>
    </row>
    <row r="34" spans="1:15" ht="25" customHeight="1" thickBot="1" x14ac:dyDescent="0.25">
      <c r="A34" s="45" t="s">
        <v>67</v>
      </c>
      <c r="B34" s="155">
        <v>12</v>
      </c>
      <c r="C34" s="155">
        <v>12</v>
      </c>
      <c r="D34" s="155">
        <v>12</v>
      </c>
      <c r="E34" s="155">
        <v>12</v>
      </c>
      <c r="F34" s="155">
        <v>12</v>
      </c>
      <c r="G34" s="155">
        <v>12</v>
      </c>
      <c r="H34" s="155">
        <v>12</v>
      </c>
      <c r="I34" s="155">
        <v>12</v>
      </c>
      <c r="J34" s="155">
        <v>12</v>
      </c>
      <c r="K34" s="127">
        <v>12</v>
      </c>
      <c r="L34" s="155">
        <v>12</v>
      </c>
      <c r="M34" s="155">
        <v>12</v>
      </c>
      <c r="N34" s="732"/>
      <c r="O34" s="427">
        <f t="shared" si="5"/>
        <v>144</v>
      </c>
    </row>
    <row r="35" spans="1:15" ht="25" customHeight="1" thickBot="1" x14ac:dyDescent="0.25">
      <c r="A35" s="385" t="s">
        <v>115</v>
      </c>
      <c r="B35" s="386">
        <v>8</v>
      </c>
      <c r="C35" s="386">
        <v>8</v>
      </c>
      <c r="D35" s="386">
        <v>8</v>
      </c>
      <c r="E35" s="386">
        <v>8</v>
      </c>
      <c r="F35" s="386">
        <v>8</v>
      </c>
      <c r="G35" s="386">
        <v>8</v>
      </c>
      <c r="H35" s="386">
        <v>8</v>
      </c>
      <c r="I35" s="386">
        <v>8</v>
      </c>
      <c r="J35" s="386">
        <v>8</v>
      </c>
      <c r="K35" s="392">
        <v>8</v>
      </c>
      <c r="L35" s="386">
        <v>8</v>
      </c>
      <c r="M35" s="386">
        <v>8</v>
      </c>
      <c r="N35" s="732"/>
      <c r="O35" s="427">
        <f t="shared" si="5"/>
        <v>96</v>
      </c>
    </row>
    <row r="36" spans="1:15" ht="44" customHeight="1" thickBot="1" x14ac:dyDescent="0.25">
      <c r="A36" s="380" t="s">
        <v>137</v>
      </c>
      <c r="B36" s="384">
        <f t="shared" ref="B36:M36" si="6">SUM(B26:B35)</f>
        <v>138</v>
      </c>
      <c r="C36" s="384">
        <f t="shared" si="6"/>
        <v>138</v>
      </c>
      <c r="D36" s="384">
        <f t="shared" si="6"/>
        <v>138</v>
      </c>
      <c r="E36" s="384">
        <f t="shared" si="6"/>
        <v>138</v>
      </c>
      <c r="F36" s="384">
        <f t="shared" si="6"/>
        <v>138</v>
      </c>
      <c r="G36" s="393">
        <f t="shared" si="6"/>
        <v>138</v>
      </c>
      <c r="H36" s="384">
        <f t="shared" si="6"/>
        <v>138</v>
      </c>
      <c r="I36" s="384">
        <f t="shared" si="6"/>
        <v>138</v>
      </c>
      <c r="J36" s="384">
        <f t="shared" si="6"/>
        <v>138</v>
      </c>
      <c r="K36" s="383">
        <f t="shared" si="6"/>
        <v>136</v>
      </c>
      <c r="L36" s="384">
        <f t="shared" si="6"/>
        <v>136</v>
      </c>
      <c r="M36" s="384">
        <f t="shared" si="6"/>
        <v>136</v>
      </c>
      <c r="N36" s="790"/>
      <c r="O36" s="412">
        <f>SUM(O26:O35)</f>
        <v>1650</v>
      </c>
    </row>
    <row r="37" spans="1:15" ht="45" customHeight="1" thickBot="1" x14ac:dyDescent="0.25">
      <c r="A37" s="818" t="s">
        <v>141</v>
      </c>
      <c r="B37" s="819"/>
      <c r="C37" s="819"/>
      <c r="D37" s="819"/>
      <c r="E37" s="819"/>
      <c r="F37" s="819"/>
      <c r="G37" s="819"/>
      <c r="H37" s="819"/>
      <c r="I37" s="819"/>
      <c r="J37" s="819"/>
      <c r="K37" s="819"/>
      <c r="L37" s="819"/>
      <c r="M37" s="820"/>
      <c r="N37" s="732"/>
      <c r="O37" s="414"/>
    </row>
    <row r="38" spans="1:15" ht="25" customHeight="1" thickBot="1" x14ac:dyDescent="0.25">
      <c r="A38" s="428" t="s">
        <v>21</v>
      </c>
      <c r="B38" s="429"/>
      <c r="C38" s="429"/>
      <c r="D38" s="429"/>
      <c r="E38" s="429"/>
      <c r="F38" s="429"/>
      <c r="G38" s="429"/>
      <c r="H38" s="429"/>
      <c r="I38" s="429"/>
      <c r="J38" s="429"/>
      <c r="K38" s="130"/>
      <c r="L38" s="429"/>
      <c r="M38" s="429"/>
      <c r="N38" s="731"/>
      <c r="O38" s="434">
        <f t="shared" ref="O38:O43" si="7">SUM(B38:M38)</f>
        <v>0</v>
      </c>
    </row>
    <row r="39" spans="1:15" ht="25" customHeight="1" thickBot="1" x14ac:dyDescent="0.25">
      <c r="A39" s="428" t="s">
        <v>56</v>
      </c>
      <c r="B39" s="429">
        <v>180</v>
      </c>
      <c r="C39" s="429">
        <v>180</v>
      </c>
      <c r="D39" s="429">
        <v>180</v>
      </c>
      <c r="E39" s="429">
        <v>180</v>
      </c>
      <c r="F39" s="429">
        <v>180</v>
      </c>
      <c r="G39" s="429">
        <v>180</v>
      </c>
      <c r="H39" s="429">
        <v>180</v>
      </c>
      <c r="I39" s="429">
        <v>180</v>
      </c>
      <c r="J39" s="429">
        <v>180</v>
      </c>
      <c r="K39" s="130">
        <v>180</v>
      </c>
      <c r="L39" s="429">
        <v>180</v>
      </c>
      <c r="M39" s="429">
        <v>180</v>
      </c>
      <c r="N39" s="731"/>
      <c r="O39" s="434">
        <f t="shared" si="7"/>
        <v>2160</v>
      </c>
    </row>
    <row r="40" spans="1:15" s="22" customFormat="1" ht="25" customHeight="1" thickBot="1" x14ac:dyDescent="0.25">
      <c r="A40" s="428" t="s">
        <v>22</v>
      </c>
      <c r="B40" s="429">
        <v>50</v>
      </c>
      <c r="C40" s="429">
        <v>50</v>
      </c>
      <c r="D40" s="429">
        <v>50</v>
      </c>
      <c r="E40" s="429">
        <v>50</v>
      </c>
      <c r="F40" s="429">
        <v>50</v>
      </c>
      <c r="G40" s="430">
        <v>50</v>
      </c>
      <c r="H40" s="430">
        <v>50</v>
      </c>
      <c r="I40" s="430">
        <v>50</v>
      </c>
      <c r="J40" s="430">
        <v>50</v>
      </c>
      <c r="K40" s="130">
        <v>50</v>
      </c>
      <c r="L40" s="429">
        <v>50</v>
      </c>
      <c r="M40" s="429">
        <v>50</v>
      </c>
      <c r="N40" s="731"/>
      <c r="O40" s="434">
        <f t="shared" si="7"/>
        <v>600</v>
      </c>
    </row>
    <row r="41" spans="1:15" ht="25" customHeight="1" thickBot="1" x14ac:dyDescent="0.25">
      <c r="A41" s="428" t="s">
        <v>55</v>
      </c>
      <c r="B41" s="429"/>
      <c r="C41" s="429"/>
      <c r="D41" s="429"/>
      <c r="E41" s="429"/>
      <c r="F41" s="429"/>
      <c r="G41" s="429"/>
      <c r="H41" s="429"/>
      <c r="I41" s="429"/>
      <c r="J41" s="429"/>
      <c r="K41" s="130"/>
      <c r="L41" s="429"/>
      <c r="M41" s="429"/>
      <c r="N41" s="732"/>
      <c r="O41" s="434">
        <f t="shared" si="7"/>
        <v>0</v>
      </c>
    </row>
    <row r="42" spans="1:15" ht="25" customHeight="1" thickBot="1" x14ac:dyDescent="0.25">
      <c r="A42" s="428" t="s">
        <v>58</v>
      </c>
      <c r="B42" s="429"/>
      <c r="C42" s="429"/>
      <c r="D42" s="429"/>
      <c r="E42" s="429"/>
      <c r="F42" s="429"/>
      <c r="G42" s="430"/>
      <c r="H42" s="429"/>
      <c r="I42" s="429"/>
      <c r="J42" s="429"/>
      <c r="K42" s="130"/>
      <c r="L42" s="429"/>
      <c r="M42" s="429"/>
      <c r="N42" s="732"/>
      <c r="O42" s="434">
        <f t="shared" si="7"/>
        <v>0</v>
      </c>
    </row>
    <row r="43" spans="1:15" ht="25" customHeight="1" thickBot="1" x14ac:dyDescent="0.25">
      <c r="A43" s="431" t="s">
        <v>57</v>
      </c>
      <c r="B43" s="432"/>
      <c r="C43" s="432"/>
      <c r="D43" s="432"/>
      <c r="E43" s="432"/>
      <c r="F43" s="432"/>
      <c r="G43" s="433"/>
      <c r="H43" s="432"/>
      <c r="I43" s="432"/>
      <c r="J43" s="432"/>
      <c r="K43" s="394"/>
      <c r="L43" s="432"/>
      <c r="M43" s="432"/>
      <c r="N43" s="731"/>
      <c r="O43" s="434">
        <f t="shared" si="7"/>
        <v>0</v>
      </c>
    </row>
    <row r="44" spans="1:15" ht="42" customHeight="1" thickBot="1" x14ac:dyDescent="0.25">
      <c r="A44" s="380" t="s">
        <v>137</v>
      </c>
      <c r="B44" s="395">
        <f t="shared" ref="B44:M44" si="8">SUM(B38:B43)</f>
        <v>230</v>
      </c>
      <c r="C44" s="395">
        <f t="shared" si="8"/>
        <v>230</v>
      </c>
      <c r="D44" s="395">
        <f t="shared" si="8"/>
        <v>230</v>
      </c>
      <c r="E44" s="395">
        <f t="shared" si="8"/>
        <v>230</v>
      </c>
      <c r="F44" s="395">
        <f t="shared" si="8"/>
        <v>230</v>
      </c>
      <c r="G44" s="396">
        <f t="shared" si="8"/>
        <v>230</v>
      </c>
      <c r="H44" s="395">
        <f t="shared" si="8"/>
        <v>230</v>
      </c>
      <c r="I44" s="395">
        <f t="shared" si="8"/>
        <v>230</v>
      </c>
      <c r="J44" s="395">
        <f t="shared" si="8"/>
        <v>230</v>
      </c>
      <c r="K44" s="397">
        <f t="shared" si="8"/>
        <v>230</v>
      </c>
      <c r="L44" s="398">
        <f t="shared" si="8"/>
        <v>230</v>
      </c>
      <c r="M44" s="398">
        <f t="shared" si="8"/>
        <v>230</v>
      </c>
      <c r="N44" s="790"/>
      <c r="O44" s="412">
        <f>SUM(O38:O43)</f>
        <v>2760</v>
      </c>
    </row>
    <row r="45" spans="1:15" ht="45" customHeight="1" thickBot="1" x14ac:dyDescent="0.25">
      <c r="A45" s="806" t="s">
        <v>142</v>
      </c>
      <c r="B45" s="807"/>
      <c r="C45" s="807"/>
      <c r="D45" s="807"/>
      <c r="E45" s="807"/>
      <c r="F45" s="807"/>
      <c r="G45" s="807"/>
      <c r="H45" s="807"/>
      <c r="I45" s="807"/>
      <c r="J45" s="807"/>
      <c r="K45" s="807"/>
      <c r="L45" s="807"/>
      <c r="M45" s="808"/>
      <c r="N45" s="732"/>
      <c r="O45" s="414"/>
    </row>
    <row r="46" spans="1:15" ht="25" customHeight="1" thickBot="1" x14ac:dyDescent="0.25">
      <c r="A46" s="441" t="s">
        <v>24</v>
      </c>
      <c r="B46" s="442"/>
      <c r="C46" s="442"/>
      <c r="D46" s="442"/>
      <c r="E46" s="442"/>
      <c r="F46" s="442"/>
      <c r="G46" s="443"/>
      <c r="H46" s="442"/>
      <c r="I46" s="442"/>
      <c r="J46" s="442"/>
      <c r="K46" s="399"/>
      <c r="L46" s="447"/>
      <c r="M46" s="447"/>
      <c r="N46" s="731"/>
      <c r="O46" s="427">
        <f t="shared" ref="O46:O60" si="9">SUM(B46:M46)</f>
        <v>0</v>
      </c>
    </row>
    <row r="47" spans="1:15" ht="25" customHeight="1" thickBot="1" x14ac:dyDescent="0.25">
      <c r="A47" s="444"/>
      <c r="B47" s="445"/>
      <c r="C47" s="445"/>
      <c r="D47" s="445"/>
      <c r="E47" s="445"/>
      <c r="F47" s="445"/>
      <c r="G47" s="446"/>
      <c r="H47" s="445"/>
      <c r="I47" s="445"/>
      <c r="J47" s="445"/>
      <c r="K47" s="410"/>
      <c r="L47" s="448"/>
      <c r="M47" s="448"/>
      <c r="N47" s="790"/>
      <c r="O47" s="427"/>
    </row>
    <row r="48" spans="1:15" ht="37" customHeight="1" thickBot="1" x14ac:dyDescent="0.25">
      <c r="A48" s="401" t="s">
        <v>137</v>
      </c>
      <c r="B48" s="402">
        <f>SUM(B46)</f>
        <v>0</v>
      </c>
      <c r="C48" s="402">
        <f t="shared" ref="C48:J48" si="10">SUM(C46)</f>
        <v>0</v>
      </c>
      <c r="D48" s="402">
        <f t="shared" si="10"/>
        <v>0</v>
      </c>
      <c r="E48" s="402">
        <f t="shared" si="10"/>
        <v>0</v>
      </c>
      <c r="F48" s="402">
        <f t="shared" si="10"/>
        <v>0</v>
      </c>
      <c r="G48" s="402">
        <f t="shared" si="10"/>
        <v>0</v>
      </c>
      <c r="H48" s="402">
        <f t="shared" si="10"/>
        <v>0</v>
      </c>
      <c r="I48" s="402">
        <f t="shared" si="10"/>
        <v>0</v>
      </c>
      <c r="J48" s="402">
        <f t="shared" si="10"/>
        <v>0</v>
      </c>
      <c r="K48" s="400">
        <f>SUM(K46)</f>
        <v>0</v>
      </c>
      <c r="L48" s="402">
        <f>SUM(L46)</f>
        <v>0</v>
      </c>
      <c r="M48" s="402">
        <f t="shared" ref="M48" si="11">SUM(M46)</f>
        <v>0</v>
      </c>
      <c r="N48" s="790"/>
      <c r="O48" s="412">
        <f>SUM(O46:O47)</f>
        <v>0</v>
      </c>
    </row>
    <row r="49" spans="1:15" ht="44" customHeight="1" thickBot="1" x14ac:dyDescent="0.25">
      <c r="A49" s="821" t="s">
        <v>144</v>
      </c>
      <c r="B49" s="822"/>
      <c r="C49" s="822"/>
      <c r="D49" s="822"/>
      <c r="E49" s="822"/>
      <c r="F49" s="822"/>
      <c r="G49" s="822"/>
      <c r="H49" s="822"/>
      <c r="I49" s="822"/>
      <c r="J49" s="822"/>
      <c r="K49" s="822"/>
      <c r="L49" s="822"/>
      <c r="M49" s="823"/>
      <c r="N49" s="732"/>
      <c r="O49" s="414"/>
    </row>
    <row r="50" spans="1:15" ht="32" customHeight="1" thickBot="1" x14ac:dyDescent="0.25">
      <c r="A50" s="435" t="s">
        <v>112</v>
      </c>
      <c r="B50" s="436"/>
      <c r="C50" s="436"/>
      <c r="D50" s="436"/>
      <c r="E50" s="436"/>
      <c r="F50" s="436"/>
      <c r="G50" s="430"/>
      <c r="H50" s="436"/>
      <c r="I50" s="436"/>
      <c r="J50" s="436"/>
      <c r="K50" s="134"/>
      <c r="L50" s="439"/>
      <c r="M50" s="439"/>
      <c r="N50" s="732"/>
      <c r="O50" s="427">
        <f t="shared" si="9"/>
        <v>0</v>
      </c>
    </row>
    <row r="51" spans="1:15" ht="25" customHeight="1" thickBot="1" x14ac:dyDescent="0.25">
      <c r="A51" s="437" t="s">
        <v>125</v>
      </c>
      <c r="B51" s="438">
        <v>175</v>
      </c>
      <c r="C51" s="438">
        <v>175</v>
      </c>
      <c r="D51" s="438">
        <v>175</v>
      </c>
      <c r="E51" s="438">
        <v>175</v>
      </c>
      <c r="F51" s="438">
        <v>175</v>
      </c>
      <c r="G51" s="438">
        <v>175</v>
      </c>
      <c r="H51" s="438">
        <v>175</v>
      </c>
      <c r="I51" s="438">
        <v>175</v>
      </c>
      <c r="J51" s="438">
        <v>175</v>
      </c>
      <c r="K51" s="403">
        <v>175</v>
      </c>
      <c r="L51" s="440">
        <v>175</v>
      </c>
      <c r="M51" s="440">
        <v>175</v>
      </c>
      <c r="N51" s="732"/>
      <c r="O51" s="427">
        <f t="shared" si="9"/>
        <v>2100</v>
      </c>
    </row>
    <row r="52" spans="1:15" ht="45" customHeight="1" thickBot="1" x14ac:dyDescent="0.25">
      <c r="A52" s="380" t="s">
        <v>137</v>
      </c>
      <c r="B52" s="384">
        <f>SUM(B50:B51)</f>
        <v>175</v>
      </c>
      <c r="C52" s="384">
        <f>SUM(C50:C51)</f>
        <v>175</v>
      </c>
      <c r="D52" s="384">
        <f t="shared" ref="D52:J52" si="12">SUM(D50:D51)</f>
        <v>175</v>
      </c>
      <c r="E52" s="384">
        <f t="shared" si="12"/>
        <v>175</v>
      </c>
      <c r="F52" s="384">
        <f t="shared" si="12"/>
        <v>175</v>
      </c>
      <c r="G52" s="384">
        <f t="shared" si="12"/>
        <v>175</v>
      </c>
      <c r="H52" s="384">
        <f t="shared" si="12"/>
        <v>175</v>
      </c>
      <c r="I52" s="384">
        <f t="shared" si="12"/>
        <v>175</v>
      </c>
      <c r="J52" s="384">
        <f t="shared" si="12"/>
        <v>175</v>
      </c>
      <c r="K52" s="383">
        <f>SUM(K50:K51)</f>
        <v>175</v>
      </c>
      <c r="L52" s="381">
        <f>SUM(L50:L51)</f>
        <v>175</v>
      </c>
      <c r="M52" s="381">
        <f>SUM(M50:M51)</f>
        <v>175</v>
      </c>
      <c r="N52" s="790"/>
      <c r="O52" s="412">
        <f t="shared" si="9"/>
        <v>2100</v>
      </c>
    </row>
    <row r="53" spans="1:15" ht="39" customHeight="1" thickBot="1" x14ac:dyDescent="0.25">
      <c r="A53" s="806" t="s">
        <v>147</v>
      </c>
      <c r="B53" s="807"/>
      <c r="C53" s="807"/>
      <c r="D53" s="807"/>
      <c r="E53" s="807"/>
      <c r="F53" s="807"/>
      <c r="G53" s="807"/>
      <c r="H53" s="807"/>
      <c r="I53" s="807"/>
      <c r="J53" s="807"/>
      <c r="K53" s="807"/>
      <c r="L53" s="807"/>
      <c r="M53" s="808"/>
      <c r="N53" s="732"/>
      <c r="O53" s="414"/>
    </row>
    <row r="54" spans="1:15" ht="25" customHeight="1" thickBot="1" x14ac:dyDescent="0.25">
      <c r="A54" s="449" t="s">
        <v>52</v>
      </c>
      <c r="B54" s="378">
        <v>40</v>
      </c>
      <c r="C54" s="378">
        <v>40</v>
      </c>
      <c r="D54" s="378">
        <v>60</v>
      </c>
      <c r="E54" s="378">
        <v>60</v>
      </c>
      <c r="F54" s="378">
        <v>60</v>
      </c>
      <c r="G54" s="430">
        <v>60</v>
      </c>
      <c r="H54" s="378">
        <v>60</v>
      </c>
      <c r="I54" s="378">
        <v>60</v>
      </c>
      <c r="J54" s="378">
        <v>60</v>
      </c>
      <c r="K54" s="132">
        <v>60</v>
      </c>
      <c r="L54" s="452">
        <v>60</v>
      </c>
      <c r="M54" s="452">
        <v>60</v>
      </c>
      <c r="N54" s="732"/>
      <c r="O54" s="427">
        <f t="shared" si="9"/>
        <v>680</v>
      </c>
    </row>
    <row r="55" spans="1:15" ht="25" customHeight="1" thickBot="1" x14ac:dyDescent="0.25">
      <c r="A55" s="449" t="s">
        <v>44</v>
      </c>
      <c r="B55" s="378"/>
      <c r="C55" s="378"/>
      <c r="D55" s="378"/>
      <c r="E55" s="378"/>
      <c r="F55" s="378"/>
      <c r="G55" s="430"/>
      <c r="H55" s="378"/>
      <c r="I55" s="378"/>
      <c r="J55" s="378"/>
      <c r="K55" s="132">
        <v>100</v>
      </c>
      <c r="L55" s="452"/>
      <c r="M55" s="452"/>
      <c r="N55" s="732"/>
      <c r="O55" s="427">
        <f t="shared" si="9"/>
        <v>100</v>
      </c>
    </row>
    <row r="56" spans="1:15" ht="25" customHeight="1" thickBot="1" x14ac:dyDescent="0.25">
      <c r="A56" s="450" t="s">
        <v>28</v>
      </c>
      <c r="B56" s="451"/>
      <c r="C56" s="451"/>
      <c r="D56" s="451"/>
      <c r="E56" s="451"/>
      <c r="F56" s="451"/>
      <c r="G56" s="433"/>
      <c r="H56" s="451"/>
      <c r="I56" s="451"/>
      <c r="J56" s="451"/>
      <c r="K56" s="409"/>
      <c r="L56" s="453"/>
      <c r="M56" s="453"/>
      <c r="N56" s="732"/>
      <c r="O56" s="427">
        <f t="shared" si="9"/>
        <v>0</v>
      </c>
    </row>
    <row r="57" spans="1:15" ht="41" customHeight="1" thickBot="1" x14ac:dyDescent="0.25">
      <c r="A57" s="387" t="s">
        <v>137</v>
      </c>
      <c r="B57" s="388">
        <f>SUM(B54:B56)</f>
        <v>40</v>
      </c>
      <c r="C57" s="388">
        <f t="shared" ref="C57:M57" si="13">SUM(C54:C56)</f>
        <v>40</v>
      </c>
      <c r="D57" s="388">
        <f t="shared" si="13"/>
        <v>60</v>
      </c>
      <c r="E57" s="388">
        <f t="shared" si="13"/>
        <v>60</v>
      </c>
      <c r="F57" s="388">
        <f t="shared" si="13"/>
        <v>60</v>
      </c>
      <c r="G57" s="388">
        <f t="shared" si="13"/>
        <v>60</v>
      </c>
      <c r="H57" s="388">
        <f t="shared" si="13"/>
        <v>60</v>
      </c>
      <c r="I57" s="388">
        <f t="shared" si="13"/>
        <v>60</v>
      </c>
      <c r="J57" s="388">
        <f t="shared" si="13"/>
        <v>60</v>
      </c>
      <c r="K57" s="388">
        <f t="shared" si="13"/>
        <v>160</v>
      </c>
      <c r="L57" s="388">
        <f t="shared" si="13"/>
        <v>60</v>
      </c>
      <c r="M57" s="388">
        <f t="shared" si="13"/>
        <v>60</v>
      </c>
      <c r="N57" s="790"/>
      <c r="O57" s="412">
        <f>SUM(O54:O56)</f>
        <v>780</v>
      </c>
    </row>
    <row r="58" spans="1:15" ht="45" customHeight="1" thickBot="1" x14ac:dyDescent="0.25">
      <c r="A58" s="809" t="s">
        <v>155</v>
      </c>
      <c r="B58" s="810"/>
      <c r="C58" s="810"/>
      <c r="D58" s="810"/>
      <c r="E58" s="810"/>
      <c r="F58" s="810"/>
      <c r="G58" s="810"/>
      <c r="H58" s="810"/>
      <c r="I58" s="810"/>
      <c r="J58" s="810"/>
      <c r="K58" s="810"/>
      <c r="L58" s="810"/>
      <c r="M58" s="811"/>
      <c r="N58" s="732"/>
      <c r="O58" s="489"/>
    </row>
    <row r="59" spans="1:15" ht="25" customHeight="1" thickBot="1" x14ac:dyDescent="0.25">
      <c r="A59" s="449" t="s">
        <v>128</v>
      </c>
      <c r="B59" s="378"/>
      <c r="C59" s="378"/>
      <c r="D59" s="378"/>
      <c r="E59" s="378"/>
      <c r="F59" s="378"/>
      <c r="G59" s="378"/>
      <c r="H59" s="378"/>
      <c r="I59" s="378"/>
      <c r="J59" s="378"/>
      <c r="K59" s="132"/>
      <c r="L59" s="452"/>
      <c r="M59" s="452"/>
      <c r="N59" s="732"/>
      <c r="O59" s="427">
        <f t="shared" si="9"/>
        <v>0</v>
      </c>
    </row>
    <row r="60" spans="1:15" ht="25" customHeight="1" thickBot="1" x14ac:dyDescent="0.25">
      <c r="A60" s="450" t="s">
        <v>32</v>
      </c>
      <c r="B60" s="451"/>
      <c r="C60" s="451"/>
      <c r="D60" s="451"/>
      <c r="E60" s="451"/>
      <c r="F60" s="451"/>
      <c r="G60" s="433"/>
      <c r="H60" s="451"/>
      <c r="I60" s="451"/>
      <c r="J60" s="451"/>
      <c r="K60" s="409"/>
      <c r="L60" s="453"/>
      <c r="M60" s="453"/>
      <c r="N60" s="732"/>
      <c r="O60" s="427">
        <f t="shared" si="9"/>
        <v>0</v>
      </c>
    </row>
    <row r="61" spans="1:15" ht="41" customHeight="1" thickBot="1" x14ac:dyDescent="0.25">
      <c r="A61" s="404" t="s">
        <v>137</v>
      </c>
      <c r="B61" s="384">
        <f>SUM(B58:B60)</f>
        <v>0</v>
      </c>
      <c r="C61" s="384">
        <f t="shared" ref="C61:M61" si="14">SUM(C58:C60)</f>
        <v>0</v>
      </c>
      <c r="D61" s="384">
        <f t="shared" si="14"/>
        <v>0</v>
      </c>
      <c r="E61" s="384">
        <f t="shared" si="14"/>
        <v>0</v>
      </c>
      <c r="F61" s="384">
        <f t="shared" si="14"/>
        <v>0</v>
      </c>
      <c r="G61" s="384">
        <f t="shared" si="14"/>
        <v>0</v>
      </c>
      <c r="H61" s="384">
        <f t="shared" si="14"/>
        <v>0</v>
      </c>
      <c r="I61" s="384">
        <f t="shared" si="14"/>
        <v>0</v>
      </c>
      <c r="J61" s="384">
        <f t="shared" si="14"/>
        <v>0</v>
      </c>
      <c r="K61" s="384">
        <f t="shared" si="14"/>
        <v>0</v>
      </c>
      <c r="L61" s="384">
        <f t="shared" si="14"/>
        <v>0</v>
      </c>
      <c r="M61" s="384">
        <f t="shared" si="14"/>
        <v>0</v>
      </c>
      <c r="N61" s="790"/>
      <c r="O61" s="412">
        <f>SUM(O58:O60)</f>
        <v>0</v>
      </c>
    </row>
    <row r="62" spans="1:15" ht="38" customHeight="1" thickBot="1" x14ac:dyDescent="0.25">
      <c r="A62" s="803" t="s">
        <v>42</v>
      </c>
      <c r="B62" s="804"/>
      <c r="C62" s="804"/>
      <c r="D62" s="804"/>
      <c r="E62" s="804"/>
      <c r="F62" s="804"/>
      <c r="G62" s="804"/>
      <c r="H62" s="804"/>
      <c r="I62" s="804"/>
      <c r="J62" s="804"/>
      <c r="K62" s="804"/>
      <c r="L62" s="804"/>
      <c r="M62" s="805"/>
      <c r="N62" s="731"/>
      <c r="O62" s="414"/>
    </row>
    <row r="63" spans="1:15" ht="29" customHeight="1" thickBot="1" x14ac:dyDescent="0.25">
      <c r="A63" s="428" t="s">
        <v>40</v>
      </c>
      <c r="B63" s="429">
        <v>300</v>
      </c>
      <c r="C63" s="429">
        <v>300</v>
      </c>
      <c r="D63" s="429">
        <v>300</v>
      </c>
      <c r="E63" s="429">
        <v>300</v>
      </c>
      <c r="F63" s="429">
        <v>300</v>
      </c>
      <c r="G63" s="429">
        <v>300</v>
      </c>
      <c r="H63" s="429">
        <v>300</v>
      </c>
      <c r="I63" s="429">
        <v>300</v>
      </c>
      <c r="J63" s="429">
        <v>300</v>
      </c>
      <c r="K63" s="129"/>
      <c r="L63" s="454">
        <v>600</v>
      </c>
      <c r="M63" s="454">
        <v>600</v>
      </c>
      <c r="N63" s="731"/>
      <c r="O63" s="427">
        <f t="shared" ref="O63:O69" si="15">SUM(B63:M63)</f>
        <v>3900</v>
      </c>
    </row>
    <row r="64" spans="1:15" ht="33" customHeight="1" thickBot="1" x14ac:dyDescent="0.25">
      <c r="A64" s="428" t="s">
        <v>34</v>
      </c>
      <c r="B64" s="429"/>
      <c r="C64" s="429">
        <v>100</v>
      </c>
      <c r="D64" s="429">
        <v>100</v>
      </c>
      <c r="E64" s="429">
        <v>100</v>
      </c>
      <c r="F64" s="429">
        <v>100</v>
      </c>
      <c r="G64" s="429">
        <v>100</v>
      </c>
      <c r="H64" s="429">
        <v>100</v>
      </c>
      <c r="I64" s="429">
        <v>100</v>
      </c>
      <c r="J64" s="429">
        <v>100</v>
      </c>
      <c r="K64" s="130">
        <v>1000</v>
      </c>
      <c r="L64" s="454">
        <v>100</v>
      </c>
      <c r="M64" s="454">
        <v>100</v>
      </c>
      <c r="N64" s="732"/>
      <c r="O64" s="427">
        <f t="shared" si="15"/>
        <v>2000</v>
      </c>
    </row>
    <row r="65" spans="1:15" ht="33" customHeight="1" thickBot="1" x14ac:dyDescent="0.25">
      <c r="A65" s="431" t="s">
        <v>79</v>
      </c>
      <c r="B65" s="432">
        <v>700</v>
      </c>
      <c r="C65" s="432">
        <v>700</v>
      </c>
      <c r="D65" s="432">
        <v>700</v>
      </c>
      <c r="E65" s="432">
        <v>700</v>
      </c>
      <c r="F65" s="432">
        <v>700</v>
      </c>
      <c r="G65" s="432">
        <v>700</v>
      </c>
      <c r="H65" s="432">
        <v>700</v>
      </c>
      <c r="I65" s="432">
        <v>700</v>
      </c>
      <c r="J65" s="432">
        <v>700</v>
      </c>
      <c r="K65" s="394">
        <v>9000</v>
      </c>
      <c r="L65" s="455">
        <v>300</v>
      </c>
      <c r="M65" s="455">
        <v>300</v>
      </c>
      <c r="N65" s="732"/>
      <c r="O65" s="427">
        <f t="shared" si="15"/>
        <v>15900</v>
      </c>
    </row>
    <row r="66" spans="1:15" ht="44" customHeight="1" thickBot="1" x14ac:dyDescent="0.25">
      <c r="A66" s="405" t="s">
        <v>137</v>
      </c>
      <c r="B66" s="406">
        <f>SUM(B63:B65)</f>
        <v>1000</v>
      </c>
      <c r="C66" s="406">
        <f t="shared" ref="C66:J66" si="16">SUM(C63:C65)</f>
        <v>1100</v>
      </c>
      <c r="D66" s="406">
        <f t="shared" si="16"/>
        <v>1100</v>
      </c>
      <c r="E66" s="406">
        <f t="shared" si="16"/>
        <v>1100</v>
      </c>
      <c r="F66" s="406">
        <f t="shared" si="16"/>
        <v>1100</v>
      </c>
      <c r="G66" s="406">
        <f t="shared" si="16"/>
        <v>1100</v>
      </c>
      <c r="H66" s="406">
        <f t="shared" si="16"/>
        <v>1100</v>
      </c>
      <c r="I66" s="406">
        <f t="shared" si="16"/>
        <v>1100</v>
      </c>
      <c r="J66" s="406">
        <f t="shared" si="16"/>
        <v>1100</v>
      </c>
      <c r="K66" s="407">
        <f>SUM(K63:K65)</f>
        <v>10000</v>
      </c>
      <c r="L66" s="408">
        <f>SUM(L63:L65)</f>
        <v>1000</v>
      </c>
      <c r="M66" s="408">
        <f>SUM(M63:M65)</f>
        <v>1000</v>
      </c>
      <c r="N66" s="790"/>
      <c r="O66" s="412">
        <f>SUM(O63:O65)</f>
        <v>21800</v>
      </c>
    </row>
    <row r="67" spans="1:15" ht="42" customHeight="1" thickBot="1" x14ac:dyDescent="0.25">
      <c r="A67" s="803" t="s">
        <v>145</v>
      </c>
      <c r="B67" s="804"/>
      <c r="C67" s="804"/>
      <c r="D67" s="804"/>
      <c r="E67" s="804"/>
      <c r="F67" s="804"/>
      <c r="G67" s="804"/>
      <c r="H67" s="804"/>
      <c r="I67" s="804"/>
      <c r="J67" s="804"/>
      <c r="K67" s="804"/>
      <c r="L67" s="804"/>
      <c r="M67" s="805"/>
      <c r="N67" s="732"/>
      <c r="O67" s="414"/>
    </row>
    <row r="68" spans="1:15" ht="33" customHeight="1" thickBot="1" x14ac:dyDescent="0.25">
      <c r="A68" s="428"/>
      <c r="B68" s="456"/>
      <c r="C68" s="456"/>
      <c r="D68" s="456"/>
      <c r="E68" s="456"/>
      <c r="F68" s="456"/>
      <c r="G68" s="456"/>
      <c r="H68" s="456"/>
      <c r="I68" s="456"/>
      <c r="J68" s="456"/>
      <c r="K68" s="130"/>
      <c r="L68" s="454"/>
      <c r="M68" s="454"/>
      <c r="N68" s="732"/>
      <c r="O68" s="427"/>
    </row>
    <row r="69" spans="1:15" ht="32" customHeight="1" thickBot="1" x14ac:dyDescent="0.25">
      <c r="A69" s="431" t="s">
        <v>146</v>
      </c>
      <c r="B69" s="432">
        <v>50</v>
      </c>
      <c r="C69" s="432">
        <v>50</v>
      </c>
      <c r="D69" s="432">
        <v>50</v>
      </c>
      <c r="E69" s="432">
        <v>50</v>
      </c>
      <c r="F69" s="432">
        <v>50</v>
      </c>
      <c r="G69" s="432">
        <v>50</v>
      </c>
      <c r="H69" s="432">
        <v>50</v>
      </c>
      <c r="I69" s="432">
        <v>50</v>
      </c>
      <c r="J69" s="432">
        <v>50</v>
      </c>
      <c r="K69" s="520">
        <v>50</v>
      </c>
      <c r="L69" s="455">
        <v>50</v>
      </c>
      <c r="M69" s="455">
        <v>50</v>
      </c>
      <c r="N69" s="731"/>
      <c r="O69" s="427">
        <f t="shared" si="15"/>
        <v>600</v>
      </c>
    </row>
    <row r="70" spans="1:15" ht="43" customHeight="1" thickBot="1" x14ac:dyDescent="0.25">
      <c r="A70" s="404" t="s">
        <v>137</v>
      </c>
      <c r="B70" s="381">
        <f>SUM(B68:B69)</f>
        <v>50</v>
      </c>
      <c r="C70" s="381">
        <f t="shared" ref="C70:J70" si="17">SUM(C68:C69)</f>
        <v>50</v>
      </c>
      <c r="D70" s="381">
        <f t="shared" si="17"/>
        <v>50</v>
      </c>
      <c r="E70" s="381">
        <f t="shared" si="17"/>
        <v>50</v>
      </c>
      <c r="F70" s="381">
        <f t="shared" si="17"/>
        <v>50</v>
      </c>
      <c r="G70" s="381">
        <f t="shared" si="17"/>
        <v>50</v>
      </c>
      <c r="H70" s="381">
        <f t="shared" si="17"/>
        <v>50</v>
      </c>
      <c r="I70" s="381">
        <f t="shared" si="17"/>
        <v>50</v>
      </c>
      <c r="J70" s="381">
        <f t="shared" si="17"/>
        <v>50</v>
      </c>
      <c r="K70" s="383">
        <f>SUM(K68:K69)</f>
        <v>50</v>
      </c>
      <c r="L70" s="381">
        <f>SUM(L68:L69)</f>
        <v>50</v>
      </c>
      <c r="M70" s="381">
        <f>SUM(M68:M69)</f>
        <v>50</v>
      </c>
      <c r="N70" s="791"/>
      <c r="O70" s="412">
        <f>SUM(O68:O69)</f>
        <v>600</v>
      </c>
    </row>
    <row r="71" spans="1:15" ht="50" customHeight="1" thickTop="1" thickBot="1" x14ac:dyDescent="0.25">
      <c r="A71" s="462" t="s">
        <v>148</v>
      </c>
      <c r="B71" s="463">
        <f>SUM(B7+B17+B24+B36+B44+B48+B52+B57+B61+B66+B70)</f>
        <v>4723</v>
      </c>
      <c r="C71" s="463">
        <f t="shared" ref="C71:I71" si="18">SUM(C7+C17+C24+C36+C44+C48+C52+C57+C61+C66+C70)</f>
        <v>4723</v>
      </c>
      <c r="D71" s="463">
        <f t="shared" si="18"/>
        <v>4693</v>
      </c>
      <c r="E71" s="463">
        <f t="shared" si="18"/>
        <v>4743</v>
      </c>
      <c r="F71" s="463">
        <f t="shared" si="18"/>
        <v>4873</v>
      </c>
      <c r="G71" s="463">
        <f t="shared" si="18"/>
        <v>4743</v>
      </c>
      <c r="H71" s="463">
        <f t="shared" si="18"/>
        <v>4723</v>
      </c>
      <c r="I71" s="463">
        <f t="shared" si="18"/>
        <v>4723</v>
      </c>
      <c r="J71" s="463">
        <f>SUM(J7+J17+J24+J36+J44++J48+J52+J61+J66+J70)</f>
        <v>4793</v>
      </c>
      <c r="K71" s="464">
        <f>SUM(K7+K17+K24+K36+K44++K48+K52+K61+K66+K70)</f>
        <v>13636</v>
      </c>
      <c r="L71" s="463">
        <f>SUM(L7+L17+L24+L36+L44++L48+L52+L61+L66+L70)</f>
        <v>4701</v>
      </c>
      <c r="M71" s="463">
        <f>SUM(M7+M17+M24+M36+M44++M48+M52+M61+M66+M70)</f>
        <v>4701</v>
      </c>
      <c r="N71" s="795"/>
      <c r="O71" s="466">
        <f t="shared" ref="O71:O80" si="19">SUM(B71:M71)</f>
        <v>65775</v>
      </c>
    </row>
    <row r="72" spans="1:15" ht="41" customHeight="1" thickBot="1" x14ac:dyDescent="0.25">
      <c r="A72" s="806" t="s">
        <v>149</v>
      </c>
      <c r="B72" s="807"/>
      <c r="C72" s="807"/>
      <c r="D72" s="807"/>
      <c r="E72" s="807"/>
      <c r="F72" s="807"/>
      <c r="G72" s="807"/>
      <c r="H72" s="807"/>
      <c r="I72" s="807"/>
      <c r="J72" s="807"/>
      <c r="K72" s="807"/>
      <c r="L72" s="807"/>
      <c r="M72" s="808"/>
      <c r="N72" s="796"/>
      <c r="O72" s="465"/>
    </row>
    <row r="73" spans="1:15" ht="33" customHeight="1" thickBot="1" x14ac:dyDescent="0.25">
      <c r="A73" s="490" t="s">
        <v>41</v>
      </c>
      <c r="B73" s="491">
        <v>5200</v>
      </c>
      <c r="C73" s="491">
        <v>5200</v>
      </c>
      <c r="D73" s="491">
        <v>5200</v>
      </c>
      <c r="E73" s="491">
        <v>5200</v>
      </c>
      <c r="F73" s="491">
        <v>5200</v>
      </c>
      <c r="G73" s="491">
        <v>5200</v>
      </c>
      <c r="H73" s="491">
        <v>5200</v>
      </c>
      <c r="I73" s="491">
        <v>5200</v>
      </c>
      <c r="J73" s="491">
        <v>5200</v>
      </c>
      <c r="K73" s="492">
        <v>14500</v>
      </c>
      <c r="L73" s="493">
        <v>5400</v>
      </c>
      <c r="M73" s="493">
        <v>5400</v>
      </c>
      <c r="N73" s="746"/>
      <c r="O73" s="494">
        <f t="shared" si="19"/>
        <v>72100</v>
      </c>
    </row>
    <row r="74" spans="1:15" ht="30" customHeight="1" thickBot="1" x14ac:dyDescent="0.25">
      <c r="A74" s="490" t="s">
        <v>82</v>
      </c>
      <c r="B74" s="495"/>
      <c r="C74" s="495"/>
      <c r="D74" s="495"/>
      <c r="E74" s="495"/>
      <c r="F74" s="495"/>
      <c r="G74" s="495"/>
      <c r="H74" s="495"/>
      <c r="I74" s="495"/>
      <c r="J74" s="495"/>
      <c r="K74" s="496"/>
      <c r="L74" s="497"/>
      <c r="M74" s="497"/>
      <c r="N74" s="747"/>
      <c r="O74" s="494">
        <f t="shared" si="19"/>
        <v>0</v>
      </c>
    </row>
    <row r="75" spans="1:15" ht="29" customHeight="1" thickBot="1" x14ac:dyDescent="0.25">
      <c r="A75" s="490" t="s">
        <v>35</v>
      </c>
      <c r="B75" s="491"/>
      <c r="C75" s="491"/>
      <c r="D75" s="491"/>
      <c r="E75" s="491"/>
      <c r="F75" s="491"/>
      <c r="G75" s="498"/>
      <c r="H75" s="491"/>
      <c r="I75" s="491"/>
      <c r="J75" s="491"/>
      <c r="K75" s="492"/>
      <c r="L75" s="493"/>
      <c r="M75" s="493"/>
      <c r="N75" s="746"/>
      <c r="O75" s="494">
        <f t="shared" si="19"/>
        <v>0</v>
      </c>
    </row>
    <row r="76" spans="1:15" ht="30" customHeight="1" thickBot="1" x14ac:dyDescent="0.25">
      <c r="A76" s="499" t="s">
        <v>36</v>
      </c>
      <c r="B76" s="500">
        <v>800</v>
      </c>
      <c r="C76" s="500"/>
      <c r="D76" s="500"/>
      <c r="E76" s="501"/>
      <c r="F76" s="501"/>
      <c r="G76" s="502"/>
      <c r="H76" s="501"/>
      <c r="I76" s="501"/>
      <c r="J76" s="501"/>
      <c r="K76" s="503"/>
      <c r="L76" s="504"/>
      <c r="M76" s="504"/>
      <c r="N76" s="746"/>
      <c r="O76" s="494">
        <f t="shared" si="19"/>
        <v>800</v>
      </c>
    </row>
    <row r="77" spans="1:15" ht="61" customHeight="1" thickBot="1" x14ac:dyDescent="0.25">
      <c r="A77" s="415" t="s">
        <v>152</v>
      </c>
      <c r="B77" s="416">
        <f t="shared" ref="B77:M77" si="20">SUM(B73:B76)</f>
        <v>6000</v>
      </c>
      <c r="C77" s="416">
        <f t="shared" si="20"/>
        <v>5200</v>
      </c>
      <c r="D77" s="416">
        <f t="shared" si="20"/>
        <v>5200</v>
      </c>
      <c r="E77" s="416">
        <f t="shared" si="20"/>
        <v>5200</v>
      </c>
      <c r="F77" s="416">
        <f t="shared" si="20"/>
        <v>5200</v>
      </c>
      <c r="G77" s="417">
        <f t="shared" si="20"/>
        <v>5200</v>
      </c>
      <c r="H77" s="416">
        <f t="shared" si="20"/>
        <v>5200</v>
      </c>
      <c r="I77" s="416">
        <f t="shared" si="20"/>
        <v>5200</v>
      </c>
      <c r="J77" s="416">
        <f t="shared" si="20"/>
        <v>5200</v>
      </c>
      <c r="K77" s="420">
        <f t="shared" si="20"/>
        <v>14500</v>
      </c>
      <c r="L77" s="418">
        <f t="shared" si="20"/>
        <v>5400</v>
      </c>
      <c r="M77" s="418">
        <f t="shared" si="20"/>
        <v>5400</v>
      </c>
      <c r="N77" s="740"/>
      <c r="O77" s="419">
        <f t="shared" si="19"/>
        <v>72900</v>
      </c>
    </row>
    <row r="78" spans="1:15" ht="51" customHeight="1" thickBot="1" x14ac:dyDescent="0.25">
      <c r="A78" s="839" t="s">
        <v>150</v>
      </c>
      <c r="B78" s="840"/>
      <c r="C78" s="840"/>
      <c r="D78" s="840"/>
      <c r="E78" s="840"/>
      <c r="F78" s="840"/>
      <c r="G78" s="840"/>
      <c r="H78" s="840"/>
      <c r="I78" s="840"/>
      <c r="J78" s="840"/>
      <c r="K78" s="840"/>
      <c r="L78" s="840"/>
      <c r="M78" s="841"/>
      <c r="N78" s="747"/>
      <c r="O78" s="516"/>
    </row>
    <row r="79" spans="1:15" ht="23" customHeight="1" thickBot="1" x14ac:dyDescent="0.25">
      <c r="A79" s="457"/>
      <c r="B79" s="458"/>
      <c r="C79" s="458"/>
      <c r="D79" s="458"/>
      <c r="E79" s="458"/>
      <c r="F79" s="458"/>
      <c r="G79" s="459"/>
      <c r="H79" s="458"/>
      <c r="I79" s="458"/>
      <c r="J79" s="458"/>
      <c r="K79" s="411"/>
      <c r="L79" s="460"/>
      <c r="M79" s="460"/>
      <c r="N79" s="747"/>
      <c r="O79" s="461"/>
    </row>
    <row r="80" spans="1:15" s="486" customFormat="1" ht="53" customHeight="1" thickBot="1" x14ac:dyDescent="0.25">
      <c r="A80" s="479" t="s">
        <v>50</v>
      </c>
      <c r="B80" s="480">
        <f>(B77-B71-'[1]House DECO &amp; REPAIR 25'!$C$32)</f>
        <v>1277</v>
      </c>
      <c r="C80" s="480">
        <f>(C77-C71-'[1]House DECO &amp; REPAIR 25'!$D$32)</f>
        <v>477</v>
      </c>
      <c r="D80" s="480">
        <f>(D77-D71-'[1]House DECO &amp; REPAIR 25'!$E$32)</f>
        <v>507</v>
      </c>
      <c r="E80" s="481">
        <f>(E77-E71-'[1]House DECO &amp; REPAIR 25'!$F$32)</f>
        <v>457</v>
      </c>
      <c r="F80" s="481">
        <f>(F77-F71-'[1]House DECO &amp; REPAIR 25'!$G$32)</f>
        <v>327</v>
      </c>
      <c r="G80" s="482">
        <f t="shared" ref="G80:M80" si="21">(G77-G71)</f>
        <v>457</v>
      </c>
      <c r="H80" s="481">
        <f t="shared" si="21"/>
        <v>477</v>
      </c>
      <c r="I80" s="481">
        <f t="shared" si="21"/>
        <v>477</v>
      </c>
      <c r="J80" s="481">
        <f t="shared" si="21"/>
        <v>407</v>
      </c>
      <c r="K80" s="483">
        <f t="shared" si="21"/>
        <v>864</v>
      </c>
      <c r="L80" s="484">
        <f t="shared" si="21"/>
        <v>699</v>
      </c>
      <c r="M80" s="484">
        <f t="shared" si="21"/>
        <v>699</v>
      </c>
      <c r="N80" s="747"/>
      <c r="O80" s="485">
        <f t="shared" si="19"/>
        <v>7125</v>
      </c>
    </row>
    <row r="81" spans="5:15" ht="25" customHeight="1" thickTop="1" x14ac:dyDescent="0.2">
      <c r="E81" s="33"/>
      <c r="F81" s="33"/>
      <c r="G81" s="33"/>
      <c r="H81" s="33"/>
      <c r="I81" s="33"/>
      <c r="J81" s="33"/>
      <c r="K81" s="36"/>
      <c r="L81" s="797" t="s">
        <v>63</v>
      </c>
      <c r="M81" s="798"/>
      <c r="N81" s="799"/>
      <c r="O81" s="816">
        <f>SUM(O4:O80)</f>
        <v>350490</v>
      </c>
    </row>
    <row r="82" spans="5:15" ht="25" customHeight="1" thickBot="1" x14ac:dyDescent="0.25">
      <c r="E82" s="34"/>
      <c r="F82" s="34"/>
      <c r="G82" s="34"/>
      <c r="H82" s="34"/>
      <c r="I82" s="34"/>
      <c r="J82" s="34"/>
      <c r="K82" s="35"/>
      <c r="L82" s="800"/>
      <c r="M82" s="801"/>
      <c r="N82" s="802"/>
      <c r="O82" s="817"/>
    </row>
    <row r="83" spans="5:15" ht="25" customHeight="1" thickBot="1" x14ac:dyDescent="0.25">
      <c r="E83" s="37"/>
      <c r="F83" s="37"/>
      <c r="G83" s="37"/>
      <c r="H83" s="37"/>
      <c r="I83" s="37"/>
      <c r="J83" s="37"/>
      <c r="K83" s="38"/>
      <c r="L83" s="783" t="s">
        <v>64</v>
      </c>
      <c r="M83" s="784"/>
      <c r="N83" s="785"/>
      <c r="O83" s="487">
        <f>SUM(O66+O70)</f>
        <v>22400</v>
      </c>
    </row>
    <row r="84" spans="5:15" ht="32" customHeight="1" thickBot="1" x14ac:dyDescent="0.25">
      <c r="E84" s="39"/>
      <c r="F84" s="39"/>
      <c r="G84" s="39"/>
      <c r="H84" s="39"/>
      <c r="I84" s="39"/>
      <c r="J84" s="39"/>
      <c r="K84" s="40"/>
      <c r="L84" s="786" t="s">
        <v>42</v>
      </c>
      <c r="M84" s="787"/>
      <c r="N84" s="788"/>
      <c r="O84" s="529">
        <f>SUM(B80:M80)</f>
        <v>7125</v>
      </c>
    </row>
    <row r="85" spans="5:15" ht="35" customHeight="1" thickTop="1" x14ac:dyDescent="0.2"/>
    <row r="86" spans="5:15" ht="31" customHeight="1" x14ac:dyDescent="0.2"/>
  </sheetData>
  <mergeCells count="19">
    <mergeCell ref="A58:M58"/>
    <mergeCell ref="O81:O82"/>
    <mergeCell ref="L83:N83"/>
    <mergeCell ref="L84:N84"/>
    <mergeCell ref="A62:M62"/>
    <mergeCell ref="A67:M67"/>
    <mergeCell ref="N71:N80"/>
    <mergeCell ref="A72:M72"/>
    <mergeCell ref="A78:M78"/>
    <mergeCell ref="L81:N82"/>
    <mergeCell ref="N1:N70"/>
    <mergeCell ref="A3:M3"/>
    <mergeCell ref="A8:M8"/>
    <mergeCell ref="A18:M18"/>
    <mergeCell ref="A25:M25"/>
    <mergeCell ref="A37:M37"/>
    <mergeCell ref="A45:M45"/>
    <mergeCell ref="A49:M49"/>
    <mergeCell ref="A53:M53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6EF2-85D3-0C43-8D57-452A254BD68D}">
  <sheetPr>
    <tabColor rgb="FF002060"/>
  </sheetPr>
  <dimension ref="A1:O86"/>
  <sheetViews>
    <sheetView zoomScale="75" zoomScaleNormal="75" workbookViewId="0">
      <selection activeCell="K43" sqref="K38:K43"/>
    </sheetView>
  </sheetViews>
  <sheetFormatPr baseColWidth="10" defaultColWidth="11.28515625" defaultRowHeight="25" customHeight="1" x14ac:dyDescent="0.2"/>
  <cols>
    <col min="1" max="1" width="23.85546875" style="56" customWidth="1"/>
    <col min="2" max="2" width="18.7109375" style="10" customWidth="1"/>
    <col min="3" max="3" width="16" style="10" customWidth="1"/>
    <col min="4" max="4" width="15.42578125" style="10" customWidth="1"/>
    <col min="5" max="6" width="16.140625" style="10" customWidth="1"/>
    <col min="7" max="7" width="20" style="22" customWidth="1"/>
    <col min="8" max="8" width="17.5703125" style="10" customWidth="1"/>
    <col min="9" max="9" width="16.140625" style="10" customWidth="1"/>
    <col min="10" max="10" width="17.7109375" style="10" customWidth="1"/>
    <col min="11" max="11" width="17.7109375" style="22" customWidth="1"/>
    <col min="12" max="13" width="16.140625" style="10" customWidth="1"/>
    <col min="14" max="14" width="9.7109375" style="10" customWidth="1"/>
    <col min="15" max="15" width="26" style="10" customWidth="1"/>
    <col min="16" max="16" width="27.85546875" style="10" customWidth="1"/>
    <col min="17" max="26" width="10.5703125" style="10" customWidth="1"/>
    <col min="27" max="16384" width="11.28515625" style="10"/>
  </cols>
  <sheetData>
    <row r="1" spans="1:15" ht="44" customHeight="1" thickTop="1" thickBot="1" x14ac:dyDescent="0.25">
      <c r="A1" s="467" t="s">
        <v>162</v>
      </c>
      <c r="B1" s="468" t="s">
        <v>6</v>
      </c>
      <c r="C1" s="468" t="s">
        <v>7</v>
      </c>
      <c r="D1" s="469" t="s">
        <v>8</v>
      </c>
      <c r="E1" s="470" t="s">
        <v>9</v>
      </c>
      <c r="F1" s="126" t="s">
        <v>10</v>
      </c>
      <c r="G1" s="471" t="s">
        <v>2</v>
      </c>
      <c r="H1" s="126" t="s">
        <v>60</v>
      </c>
      <c r="I1" s="126" t="s">
        <v>3</v>
      </c>
      <c r="J1" s="126" t="s">
        <v>61</v>
      </c>
      <c r="K1" s="126" t="s">
        <v>4</v>
      </c>
      <c r="L1" s="126" t="s">
        <v>62</v>
      </c>
      <c r="M1" s="126" t="s">
        <v>5</v>
      </c>
      <c r="N1" s="730"/>
      <c r="O1" s="472" t="s">
        <v>151</v>
      </c>
    </row>
    <row r="2" spans="1:15" ht="29" customHeight="1" thickBot="1" x14ac:dyDescent="0.25">
      <c r="A2" s="474"/>
      <c r="B2" s="475"/>
      <c r="C2" s="475"/>
      <c r="D2" s="476"/>
      <c r="E2" s="476"/>
      <c r="F2" s="476"/>
      <c r="G2" s="477"/>
      <c r="H2" s="476"/>
      <c r="I2" s="476"/>
      <c r="J2" s="476"/>
      <c r="K2" s="473"/>
      <c r="L2" s="476"/>
      <c r="M2" s="476"/>
      <c r="N2" s="789"/>
      <c r="O2" s="478"/>
    </row>
    <row r="3" spans="1:15" ht="45" customHeight="1" thickBot="1" x14ac:dyDescent="0.25">
      <c r="A3" s="792" t="s">
        <v>139</v>
      </c>
      <c r="B3" s="793"/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4"/>
      <c r="N3" s="731"/>
      <c r="O3" s="413"/>
    </row>
    <row r="4" spans="1:15" ht="32" customHeight="1" thickBot="1" x14ac:dyDescent="0.25">
      <c r="A4" s="421" t="s">
        <v>11</v>
      </c>
      <c r="B4" s="422">
        <v>1110</v>
      </c>
      <c r="C4" s="422">
        <v>1110</v>
      </c>
      <c r="D4" s="422">
        <v>1110</v>
      </c>
      <c r="E4" s="422">
        <v>1110</v>
      </c>
      <c r="F4" s="422">
        <v>1110</v>
      </c>
      <c r="G4" s="422">
        <v>1110</v>
      </c>
      <c r="H4" s="422">
        <v>1110</v>
      </c>
      <c r="I4" s="422">
        <v>1110</v>
      </c>
      <c r="J4" s="422">
        <v>1110</v>
      </c>
      <c r="K4" s="131">
        <v>1110</v>
      </c>
      <c r="L4" s="425">
        <v>1175</v>
      </c>
      <c r="M4" s="425">
        <v>1175</v>
      </c>
      <c r="N4" s="731"/>
      <c r="O4" s="427">
        <f t="shared" ref="O4:O16" si="0">SUM(B4:M4)</f>
        <v>13450</v>
      </c>
    </row>
    <row r="5" spans="1:15" ht="31" customHeight="1" thickBot="1" x14ac:dyDescent="0.25">
      <c r="A5" s="421" t="s">
        <v>110</v>
      </c>
      <c r="B5" s="422">
        <v>825</v>
      </c>
      <c r="C5" s="422">
        <v>825</v>
      </c>
      <c r="D5" s="422">
        <v>825</v>
      </c>
      <c r="E5" s="422">
        <v>825</v>
      </c>
      <c r="F5" s="422">
        <v>825</v>
      </c>
      <c r="G5" s="422">
        <v>825</v>
      </c>
      <c r="H5" s="422">
        <v>825</v>
      </c>
      <c r="I5" s="422">
        <v>825</v>
      </c>
      <c r="J5" s="422">
        <v>825</v>
      </c>
      <c r="K5" s="131">
        <v>825</v>
      </c>
      <c r="L5" s="425">
        <v>825</v>
      </c>
      <c r="M5" s="425">
        <v>825</v>
      </c>
      <c r="N5" s="731"/>
      <c r="O5" s="427">
        <f t="shared" si="0"/>
        <v>9900</v>
      </c>
    </row>
    <row r="6" spans="1:15" ht="35" customHeight="1" thickBot="1" x14ac:dyDescent="0.25">
      <c r="A6" s="423" t="s">
        <v>13</v>
      </c>
      <c r="B6" s="424">
        <v>170</v>
      </c>
      <c r="C6" s="424">
        <v>170</v>
      </c>
      <c r="D6" s="424">
        <v>170</v>
      </c>
      <c r="E6" s="424">
        <v>170</v>
      </c>
      <c r="F6" s="424">
        <v>170</v>
      </c>
      <c r="G6" s="424">
        <v>170</v>
      </c>
      <c r="H6" s="424">
        <v>170</v>
      </c>
      <c r="I6" s="424">
        <v>170</v>
      </c>
      <c r="J6" s="424">
        <v>170</v>
      </c>
      <c r="K6" s="379">
        <v>170</v>
      </c>
      <c r="L6" s="426">
        <v>170</v>
      </c>
      <c r="M6" s="426">
        <v>170</v>
      </c>
      <c r="N6" s="731"/>
      <c r="O6" s="427">
        <f t="shared" si="0"/>
        <v>2040</v>
      </c>
    </row>
    <row r="7" spans="1:15" ht="39" customHeight="1" thickBot="1" x14ac:dyDescent="0.25">
      <c r="A7" s="380" t="s">
        <v>137</v>
      </c>
      <c r="B7" s="381">
        <f t="shared" ref="B7:M7" si="1">SUM(B4:B6)</f>
        <v>2105</v>
      </c>
      <c r="C7" s="381">
        <f t="shared" si="1"/>
        <v>2105</v>
      </c>
      <c r="D7" s="381">
        <f t="shared" si="1"/>
        <v>2105</v>
      </c>
      <c r="E7" s="381">
        <f t="shared" si="1"/>
        <v>2105</v>
      </c>
      <c r="F7" s="381">
        <f t="shared" si="1"/>
        <v>2105</v>
      </c>
      <c r="G7" s="382">
        <f t="shared" si="1"/>
        <v>2105</v>
      </c>
      <c r="H7" s="381">
        <f t="shared" si="1"/>
        <v>2105</v>
      </c>
      <c r="I7" s="381">
        <f t="shared" si="1"/>
        <v>2105</v>
      </c>
      <c r="J7" s="381">
        <f t="shared" si="1"/>
        <v>2105</v>
      </c>
      <c r="K7" s="383">
        <f t="shared" si="1"/>
        <v>2105</v>
      </c>
      <c r="L7" s="384">
        <f t="shared" si="1"/>
        <v>2170</v>
      </c>
      <c r="M7" s="384">
        <f t="shared" si="1"/>
        <v>2170</v>
      </c>
      <c r="N7" s="790"/>
      <c r="O7" s="412">
        <f>SUM(O4:O6)</f>
        <v>25390</v>
      </c>
    </row>
    <row r="8" spans="1:15" ht="41" customHeight="1" thickBot="1" x14ac:dyDescent="0.25">
      <c r="A8" s="818" t="s">
        <v>138</v>
      </c>
      <c r="B8" s="819"/>
      <c r="C8" s="819"/>
      <c r="D8" s="819"/>
      <c r="E8" s="819"/>
      <c r="F8" s="819"/>
      <c r="G8" s="819"/>
      <c r="H8" s="819"/>
      <c r="I8" s="819"/>
      <c r="J8" s="819"/>
      <c r="K8" s="819"/>
      <c r="L8" s="819"/>
      <c r="M8" s="820"/>
      <c r="N8" s="732"/>
      <c r="O8" s="414"/>
    </row>
    <row r="9" spans="1:15" ht="25" customHeight="1" thickBot="1" x14ac:dyDescent="0.25">
      <c r="A9" s="45" t="s">
        <v>14</v>
      </c>
      <c r="B9" s="155">
        <v>55</v>
      </c>
      <c r="C9" s="155">
        <v>55</v>
      </c>
      <c r="D9" s="155">
        <v>55</v>
      </c>
      <c r="E9" s="155">
        <v>55</v>
      </c>
      <c r="F9" s="155">
        <v>55</v>
      </c>
      <c r="G9" s="155">
        <v>55</v>
      </c>
      <c r="H9" s="155">
        <v>35</v>
      </c>
      <c r="I9" s="155">
        <v>35</v>
      </c>
      <c r="J9" s="155">
        <v>35</v>
      </c>
      <c r="K9" s="127">
        <v>35</v>
      </c>
      <c r="L9" s="155">
        <v>35</v>
      </c>
      <c r="M9" s="155">
        <v>35</v>
      </c>
      <c r="N9" s="731"/>
      <c r="O9" s="427">
        <f t="shared" si="0"/>
        <v>540</v>
      </c>
    </row>
    <row r="10" spans="1:15" ht="29" customHeight="1" thickBot="1" x14ac:dyDescent="0.25">
      <c r="A10" s="45" t="s">
        <v>133</v>
      </c>
      <c r="B10" s="155">
        <v>135</v>
      </c>
      <c r="C10" s="155">
        <v>135</v>
      </c>
      <c r="D10" s="155">
        <v>135</v>
      </c>
      <c r="E10" s="155">
        <v>135</v>
      </c>
      <c r="F10" s="155">
        <v>135</v>
      </c>
      <c r="G10" s="155">
        <v>135</v>
      </c>
      <c r="H10" s="155">
        <v>135</v>
      </c>
      <c r="I10" s="155">
        <v>135</v>
      </c>
      <c r="J10" s="155">
        <v>135</v>
      </c>
      <c r="K10" s="127">
        <v>160</v>
      </c>
      <c r="L10" s="155">
        <v>160</v>
      </c>
      <c r="M10" s="155">
        <v>160</v>
      </c>
      <c r="N10" s="731"/>
      <c r="O10" s="427">
        <f t="shared" si="0"/>
        <v>1695</v>
      </c>
    </row>
    <row r="11" spans="1:15" ht="25" customHeight="1" thickBot="1" x14ac:dyDescent="0.25">
      <c r="A11" s="45" t="s">
        <v>17</v>
      </c>
      <c r="B11" s="155">
        <v>70</v>
      </c>
      <c r="C11" s="155">
        <v>70</v>
      </c>
      <c r="D11" s="378">
        <v>70</v>
      </c>
      <c r="E11" s="155">
        <v>70</v>
      </c>
      <c r="F11" s="155">
        <v>70</v>
      </c>
      <c r="G11" s="155">
        <v>70</v>
      </c>
      <c r="H11" s="155">
        <v>70</v>
      </c>
      <c r="I11" s="155">
        <v>70</v>
      </c>
      <c r="J11" s="155">
        <v>70</v>
      </c>
      <c r="K11" s="127">
        <v>70</v>
      </c>
      <c r="L11" s="155">
        <v>70</v>
      </c>
      <c r="M11" s="155">
        <v>70</v>
      </c>
      <c r="N11" s="731"/>
      <c r="O11" s="427">
        <f t="shared" si="0"/>
        <v>840</v>
      </c>
    </row>
    <row r="12" spans="1:15" ht="25" customHeight="1" thickBot="1" x14ac:dyDescent="0.25">
      <c r="A12" s="45" t="s">
        <v>131</v>
      </c>
      <c r="B12" s="155">
        <v>40</v>
      </c>
      <c r="C12" s="155">
        <v>40</v>
      </c>
      <c r="D12" s="155">
        <v>40</v>
      </c>
      <c r="E12" s="155">
        <v>40</v>
      </c>
      <c r="F12" s="155">
        <v>40</v>
      </c>
      <c r="G12" s="155">
        <v>40</v>
      </c>
      <c r="H12" s="155">
        <v>40</v>
      </c>
      <c r="I12" s="155">
        <v>40</v>
      </c>
      <c r="J12" s="155">
        <v>40</v>
      </c>
      <c r="K12" s="127">
        <v>40</v>
      </c>
      <c r="L12" s="155">
        <v>40</v>
      </c>
      <c r="M12" s="155">
        <v>40</v>
      </c>
      <c r="N12" s="732"/>
      <c r="O12" s="427">
        <f t="shared" si="0"/>
        <v>480</v>
      </c>
    </row>
    <row r="13" spans="1:15" ht="25" customHeight="1" thickBot="1" x14ac:dyDescent="0.25">
      <c r="A13" s="45" t="s">
        <v>132</v>
      </c>
      <c r="B13" s="155">
        <v>15</v>
      </c>
      <c r="C13" s="155">
        <v>15</v>
      </c>
      <c r="D13" s="155">
        <v>15</v>
      </c>
      <c r="E13" s="155">
        <v>15</v>
      </c>
      <c r="F13" s="155">
        <v>15</v>
      </c>
      <c r="G13" s="155">
        <v>15</v>
      </c>
      <c r="H13" s="155">
        <v>15</v>
      </c>
      <c r="I13" s="155">
        <v>15</v>
      </c>
      <c r="J13" s="155">
        <v>15</v>
      </c>
      <c r="K13" s="127">
        <v>15</v>
      </c>
      <c r="L13" s="155">
        <v>15</v>
      </c>
      <c r="M13" s="155">
        <v>15</v>
      </c>
      <c r="N13" s="732"/>
      <c r="O13" s="427">
        <f t="shared" si="0"/>
        <v>180</v>
      </c>
    </row>
    <row r="14" spans="1:15" ht="25" customHeight="1" thickBot="1" x14ac:dyDescent="0.25">
      <c r="A14" s="45" t="s">
        <v>135</v>
      </c>
      <c r="B14" s="155">
        <v>30</v>
      </c>
      <c r="C14" s="155">
        <v>30</v>
      </c>
      <c r="D14" s="155">
        <v>30</v>
      </c>
      <c r="E14" s="155">
        <v>30</v>
      </c>
      <c r="F14" s="155">
        <v>30</v>
      </c>
      <c r="G14" s="155">
        <v>30</v>
      </c>
      <c r="H14" s="155">
        <v>30</v>
      </c>
      <c r="I14" s="155">
        <v>30</v>
      </c>
      <c r="J14" s="155">
        <v>30</v>
      </c>
      <c r="K14" s="127">
        <v>30</v>
      </c>
      <c r="L14" s="155">
        <v>30</v>
      </c>
      <c r="M14" s="155">
        <v>30</v>
      </c>
      <c r="N14" s="732"/>
      <c r="O14" s="427">
        <f t="shared" si="0"/>
        <v>360</v>
      </c>
    </row>
    <row r="15" spans="1:15" ht="25" customHeight="1" thickBot="1" x14ac:dyDescent="0.25">
      <c r="A15" s="45" t="s">
        <v>120</v>
      </c>
      <c r="B15" s="155">
        <v>25</v>
      </c>
      <c r="C15" s="155">
        <v>25</v>
      </c>
      <c r="D15" s="155">
        <v>25</v>
      </c>
      <c r="E15" s="155">
        <v>25</v>
      </c>
      <c r="F15" s="155">
        <v>25</v>
      </c>
      <c r="G15" s="155">
        <v>25</v>
      </c>
      <c r="H15" s="155">
        <v>25</v>
      </c>
      <c r="I15" s="155">
        <v>25</v>
      </c>
      <c r="J15" s="155">
        <v>25</v>
      </c>
      <c r="K15" s="127">
        <v>25</v>
      </c>
      <c r="L15" s="155">
        <v>25</v>
      </c>
      <c r="M15" s="155">
        <v>25</v>
      </c>
      <c r="N15" s="732"/>
      <c r="O15" s="427">
        <f t="shared" si="0"/>
        <v>300</v>
      </c>
    </row>
    <row r="16" spans="1:15" ht="25" customHeight="1" thickBot="1" x14ac:dyDescent="0.25">
      <c r="A16" s="45" t="s">
        <v>39</v>
      </c>
      <c r="B16" s="155">
        <v>15</v>
      </c>
      <c r="C16" s="155">
        <v>15</v>
      </c>
      <c r="D16" s="155">
        <v>15</v>
      </c>
      <c r="E16" s="155">
        <v>15</v>
      </c>
      <c r="F16" s="155">
        <v>15</v>
      </c>
      <c r="G16" s="155">
        <v>15</v>
      </c>
      <c r="H16" s="155">
        <v>15</v>
      </c>
      <c r="I16" s="155">
        <v>15</v>
      </c>
      <c r="J16" s="155">
        <v>15</v>
      </c>
      <c r="K16" s="127">
        <v>15</v>
      </c>
      <c r="L16" s="155">
        <v>15</v>
      </c>
      <c r="M16" s="155">
        <v>15</v>
      </c>
      <c r="N16" s="732"/>
      <c r="O16" s="427">
        <f t="shared" si="0"/>
        <v>180</v>
      </c>
    </row>
    <row r="17" spans="1:15" ht="41" customHeight="1" thickBot="1" x14ac:dyDescent="0.25">
      <c r="A17" s="389" t="s">
        <v>137</v>
      </c>
      <c r="B17" s="390">
        <f t="shared" ref="B17:M17" si="2">SUM(B9:B16)</f>
        <v>385</v>
      </c>
      <c r="C17" s="390">
        <f t="shared" si="2"/>
        <v>385</v>
      </c>
      <c r="D17" s="390">
        <f t="shared" si="2"/>
        <v>385</v>
      </c>
      <c r="E17" s="390">
        <f t="shared" si="2"/>
        <v>385</v>
      </c>
      <c r="F17" s="390">
        <f t="shared" si="2"/>
        <v>385</v>
      </c>
      <c r="G17" s="390">
        <f t="shared" si="2"/>
        <v>385</v>
      </c>
      <c r="H17" s="390">
        <f t="shared" si="2"/>
        <v>365</v>
      </c>
      <c r="I17" s="390">
        <f t="shared" si="2"/>
        <v>365</v>
      </c>
      <c r="J17" s="390">
        <f t="shared" si="2"/>
        <v>365</v>
      </c>
      <c r="K17" s="391">
        <f t="shared" si="2"/>
        <v>390</v>
      </c>
      <c r="L17" s="390">
        <f t="shared" si="2"/>
        <v>390</v>
      </c>
      <c r="M17" s="390">
        <f t="shared" si="2"/>
        <v>390</v>
      </c>
      <c r="N17" s="790"/>
      <c r="O17" s="412">
        <f>SUM(O9:O16)</f>
        <v>4575</v>
      </c>
    </row>
    <row r="18" spans="1:15" ht="38" customHeight="1" thickBot="1" x14ac:dyDescent="0.25">
      <c r="A18" s="809" t="s">
        <v>143</v>
      </c>
      <c r="B18" s="810"/>
      <c r="C18" s="810"/>
      <c r="D18" s="810"/>
      <c r="E18" s="810"/>
      <c r="F18" s="810"/>
      <c r="G18" s="810"/>
      <c r="H18" s="810"/>
      <c r="I18" s="810"/>
      <c r="J18" s="810"/>
      <c r="K18" s="810"/>
      <c r="L18" s="810"/>
      <c r="M18" s="811"/>
      <c r="N18" s="732"/>
      <c r="O18" s="414"/>
    </row>
    <row r="19" spans="1:15" ht="25" customHeight="1" thickBot="1" x14ac:dyDescent="0.25">
      <c r="A19" s="45" t="s">
        <v>153</v>
      </c>
      <c r="B19" s="155">
        <v>60</v>
      </c>
      <c r="C19" s="155">
        <v>60</v>
      </c>
      <c r="D19" s="155">
        <v>60</v>
      </c>
      <c r="E19" s="155">
        <v>60</v>
      </c>
      <c r="F19" s="155">
        <v>60</v>
      </c>
      <c r="G19" s="155">
        <v>60</v>
      </c>
      <c r="H19" s="155">
        <v>60</v>
      </c>
      <c r="I19" s="155">
        <v>60</v>
      </c>
      <c r="J19" s="155">
        <v>60</v>
      </c>
      <c r="K19" s="127">
        <v>60</v>
      </c>
      <c r="L19" s="155">
        <v>60</v>
      </c>
      <c r="M19" s="155">
        <v>60</v>
      </c>
      <c r="N19" s="731"/>
      <c r="O19" s="427">
        <f>SUM(B19:M19)</f>
        <v>720</v>
      </c>
    </row>
    <row r="20" spans="1:15" ht="25" customHeight="1" thickBot="1" x14ac:dyDescent="0.25">
      <c r="A20" s="45" t="s">
        <v>45</v>
      </c>
      <c r="B20" s="155">
        <v>20</v>
      </c>
      <c r="C20" s="155">
        <v>20</v>
      </c>
      <c r="D20" s="155">
        <v>20</v>
      </c>
      <c r="E20" s="155">
        <v>20</v>
      </c>
      <c r="F20" s="155">
        <v>20</v>
      </c>
      <c r="G20" s="155">
        <v>20</v>
      </c>
      <c r="H20" s="155">
        <v>20</v>
      </c>
      <c r="I20" s="155">
        <v>20</v>
      </c>
      <c r="J20" s="155">
        <v>20</v>
      </c>
      <c r="K20" s="127">
        <v>20</v>
      </c>
      <c r="L20" s="155">
        <v>20</v>
      </c>
      <c r="M20" s="155">
        <v>20</v>
      </c>
      <c r="N20" s="732"/>
      <c r="O20" s="427">
        <v>20</v>
      </c>
    </row>
    <row r="21" spans="1:15" ht="25" customHeight="1" thickBot="1" x14ac:dyDescent="0.25">
      <c r="A21" s="45" t="s">
        <v>1</v>
      </c>
      <c r="B21" s="155">
        <v>200</v>
      </c>
      <c r="C21" s="155">
        <v>200</v>
      </c>
      <c r="D21" s="155">
        <v>200</v>
      </c>
      <c r="E21" s="155">
        <v>200</v>
      </c>
      <c r="F21" s="155">
        <v>200</v>
      </c>
      <c r="G21" s="155">
        <v>200</v>
      </c>
      <c r="H21" s="155">
        <v>200</v>
      </c>
      <c r="I21" s="155">
        <v>200</v>
      </c>
      <c r="J21" s="155">
        <v>200</v>
      </c>
      <c r="K21" s="127">
        <v>300</v>
      </c>
      <c r="L21" s="155">
        <v>300</v>
      </c>
      <c r="M21" s="155">
        <v>300</v>
      </c>
      <c r="N21" s="731"/>
      <c r="O21" s="427">
        <f t="shared" ref="O21:O23" si="3">SUM(B21:M21)</f>
        <v>2700</v>
      </c>
    </row>
    <row r="22" spans="1:15" ht="25" customHeight="1" thickBot="1" x14ac:dyDescent="0.25">
      <c r="A22" s="45" t="s">
        <v>38</v>
      </c>
      <c r="B22" s="155">
        <v>70</v>
      </c>
      <c r="C22" s="155">
        <v>70</v>
      </c>
      <c r="D22" s="155">
        <v>70</v>
      </c>
      <c r="E22" s="155">
        <v>70</v>
      </c>
      <c r="F22" s="155">
        <v>70</v>
      </c>
      <c r="G22" s="155">
        <v>70</v>
      </c>
      <c r="H22" s="155">
        <v>70</v>
      </c>
      <c r="I22" s="155">
        <v>70</v>
      </c>
      <c r="J22" s="155">
        <v>70</v>
      </c>
      <c r="K22" s="127">
        <v>70</v>
      </c>
      <c r="L22" s="155">
        <v>70</v>
      </c>
      <c r="M22" s="155">
        <v>70</v>
      </c>
      <c r="N22" s="732"/>
      <c r="O22" s="427">
        <f t="shared" si="3"/>
        <v>840</v>
      </c>
    </row>
    <row r="23" spans="1:15" ht="25" customHeight="1" thickBot="1" x14ac:dyDescent="0.25">
      <c r="A23" s="45" t="s">
        <v>51</v>
      </c>
      <c r="B23" s="155">
        <v>250</v>
      </c>
      <c r="C23" s="155">
        <v>150</v>
      </c>
      <c r="D23" s="155">
        <v>100</v>
      </c>
      <c r="E23" s="155">
        <v>150</v>
      </c>
      <c r="F23" s="155">
        <v>280</v>
      </c>
      <c r="G23" s="155">
        <v>150</v>
      </c>
      <c r="H23" s="155">
        <v>150</v>
      </c>
      <c r="I23" s="155">
        <v>150</v>
      </c>
      <c r="J23" s="155">
        <v>280</v>
      </c>
      <c r="K23" s="127">
        <v>100</v>
      </c>
      <c r="L23" s="155">
        <v>100</v>
      </c>
      <c r="M23" s="155">
        <v>100</v>
      </c>
      <c r="N23" s="732"/>
      <c r="O23" s="427">
        <f t="shared" si="3"/>
        <v>1960</v>
      </c>
    </row>
    <row r="24" spans="1:15" ht="51" customHeight="1" thickBot="1" x14ac:dyDescent="0.25">
      <c r="A24" s="389" t="s">
        <v>137</v>
      </c>
      <c r="B24" s="390">
        <f t="shared" ref="B24:M24" si="4">SUM(B19:B23)</f>
        <v>600</v>
      </c>
      <c r="C24" s="390">
        <f t="shared" si="4"/>
        <v>500</v>
      </c>
      <c r="D24" s="390">
        <f t="shared" si="4"/>
        <v>450</v>
      </c>
      <c r="E24" s="390">
        <f t="shared" si="4"/>
        <v>500</v>
      </c>
      <c r="F24" s="390">
        <f t="shared" si="4"/>
        <v>630</v>
      </c>
      <c r="G24" s="390">
        <f t="shared" si="4"/>
        <v>500</v>
      </c>
      <c r="H24" s="390">
        <f t="shared" si="4"/>
        <v>500</v>
      </c>
      <c r="I24" s="390">
        <f t="shared" si="4"/>
        <v>500</v>
      </c>
      <c r="J24" s="390">
        <f t="shared" si="4"/>
        <v>630</v>
      </c>
      <c r="K24" s="391">
        <f t="shared" si="4"/>
        <v>550</v>
      </c>
      <c r="L24" s="390">
        <f t="shared" si="4"/>
        <v>550</v>
      </c>
      <c r="M24" s="390">
        <f t="shared" si="4"/>
        <v>550</v>
      </c>
      <c r="N24" s="790"/>
      <c r="O24" s="412">
        <f>SUM(O19:O23)</f>
        <v>6240</v>
      </c>
    </row>
    <row r="25" spans="1:15" ht="46" customHeight="1" thickBot="1" x14ac:dyDescent="0.25">
      <c r="A25" s="809" t="s">
        <v>140</v>
      </c>
      <c r="B25" s="810"/>
      <c r="C25" s="810"/>
      <c r="D25" s="810"/>
      <c r="E25" s="810"/>
      <c r="F25" s="810"/>
      <c r="G25" s="810"/>
      <c r="H25" s="810"/>
      <c r="I25" s="810"/>
      <c r="J25" s="810"/>
      <c r="K25" s="810"/>
      <c r="L25" s="810"/>
      <c r="M25" s="811"/>
      <c r="N25" s="732"/>
      <c r="O25" s="414"/>
    </row>
    <row r="26" spans="1:15" ht="25" customHeight="1" thickBot="1" x14ac:dyDescent="0.25">
      <c r="A26" s="45" t="s">
        <v>27</v>
      </c>
      <c r="B26" s="155"/>
      <c r="C26" s="155"/>
      <c r="D26" s="155"/>
      <c r="E26" s="155"/>
      <c r="F26" s="155"/>
      <c r="G26" s="155"/>
      <c r="H26" s="155"/>
      <c r="I26" s="155"/>
      <c r="J26" s="155"/>
      <c r="K26" s="127"/>
      <c r="L26" s="155"/>
      <c r="M26" s="155"/>
      <c r="N26" s="732"/>
      <c r="O26" s="427">
        <f>SUM(B26:M26)</f>
        <v>0</v>
      </c>
    </row>
    <row r="27" spans="1:15" ht="25" customHeight="1" thickBot="1" x14ac:dyDescent="0.25">
      <c r="A27" s="45" t="s">
        <v>124</v>
      </c>
      <c r="B27" s="155">
        <v>10</v>
      </c>
      <c r="C27" s="155">
        <v>10</v>
      </c>
      <c r="D27" s="155">
        <v>10</v>
      </c>
      <c r="E27" s="155">
        <v>10</v>
      </c>
      <c r="F27" s="155">
        <v>10</v>
      </c>
      <c r="G27" s="155">
        <v>10</v>
      </c>
      <c r="H27" s="155">
        <v>10</v>
      </c>
      <c r="I27" s="155">
        <v>10</v>
      </c>
      <c r="J27" s="155">
        <v>10</v>
      </c>
      <c r="K27" s="127">
        <v>10</v>
      </c>
      <c r="L27" s="155">
        <v>10</v>
      </c>
      <c r="M27" s="155">
        <v>10</v>
      </c>
      <c r="N27" s="732"/>
      <c r="O27" s="427">
        <f t="shared" ref="O27:O35" si="5">SUM(B27:M27)</f>
        <v>120</v>
      </c>
    </row>
    <row r="28" spans="1:15" ht="25" customHeight="1" thickBot="1" x14ac:dyDescent="0.25">
      <c r="A28" s="45" t="s">
        <v>43</v>
      </c>
      <c r="B28" s="155">
        <v>10</v>
      </c>
      <c r="C28" s="155">
        <v>10</v>
      </c>
      <c r="D28" s="155">
        <v>10</v>
      </c>
      <c r="E28" s="155">
        <v>10</v>
      </c>
      <c r="F28" s="155">
        <v>10</v>
      </c>
      <c r="G28" s="155">
        <v>10</v>
      </c>
      <c r="H28" s="155">
        <v>10</v>
      </c>
      <c r="I28" s="155">
        <v>10</v>
      </c>
      <c r="J28" s="155">
        <v>10</v>
      </c>
      <c r="K28" s="127">
        <v>10</v>
      </c>
      <c r="L28" s="155">
        <v>10</v>
      </c>
      <c r="M28" s="155">
        <v>10</v>
      </c>
      <c r="N28" s="732"/>
      <c r="O28" s="427">
        <f t="shared" si="5"/>
        <v>120</v>
      </c>
    </row>
    <row r="29" spans="1:15" ht="25" customHeight="1" thickBot="1" x14ac:dyDescent="0.25">
      <c r="A29" s="45" t="s">
        <v>119</v>
      </c>
      <c r="B29" s="155">
        <v>50</v>
      </c>
      <c r="C29" s="155">
        <v>50</v>
      </c>
      <c r="D29" s="155">
        <v>50</v>
      </c>
      <c r="E29" s="155">
        <v>50</v>
      </c>
      <c r="F29" s="155">
        <v>50</v>
      </c>
      <c r="G29" s="155">
        <v>50</v>
      </c>
      <c r="H29" s="155">
        <v>50</v>
      </c>
      <c r="I29" s="155">
        <v>50</v>
      </c>
      <c r="J29" s="155">
        <v>50</v>
      </c>
      <c r="K29" s="127">
        <v>50</v>
      </c>
      <c r="L29" s="155">
        <v>50</v>
      </c>
      <c r="M29" s="155">
        <v>50</v>
      </c>
      <c r="N29" s="732"/>
      <c r="O29" s="427">
        <f t="shared" si="5"/>
        <v>600</v>
      </c>
    </row>
    <row r="30" spans="1:15" ht="25" customHeight="1" thickBot="1" x14ac:dyDescent="0.25">
      <c r="A30" s="45" t="s">
        <v>154</v>
      </c>
      <c r="B30" s="155">
        <v>8</v>
      </c>
      <c r="C30" s="155">
        <v>8</v>
      </c>
      <c r="D30" s="155">
        <v>8</v>
      </c>
      <c r="E30" s="155">
        <v>8</v>
      </c>
      <c r="F30" s="155">
        <v>8</v>
      </c>
      <c r="G30" s="155">
        <v>8</v>
      </c>
      <c r="H30" s="155">
        <v>8</v>
      </c>
      <c r="I30" s="155">
        <v>8</v>
      </c>
      <c r="J30" s="155">
        <v>8</v>
      </c>
      <c r="K30" s="127">
        <v>8</v>
      </c>
      <c r="L30" s="155">
        <v>8</v>
      </c>
      <c r="M30" s="155">
        <v>8</v>
      </c>
      <c r="N30" s="732"/>
      <c r="O30" s="427">
        <f t="shared" si="5"/>
        <v>96</v>
      </c>
    </row>
    <row r="31" spans="1:15" ht="25" customHeight="1" thickBot="1" x14ac:dyDescent="0.25">
      <c r="A31" s="45" t="s">
        <v>19</v>
      </c>
      <c r="B31" s="155">
        <v>15</v>
      </c>
      <c r="C31" s="155">
        <v>15</v>
      </c>
      <c r="D31" s="155">
        <v>15</v>
      </c>
      <c r="E31" s="155">
        <v>15</v>
      </c>
      <c r="F31" s="155">
        <v>15</v>
      </c>
      <c r="G31" s="155">
        <v>15</v>
      </c>
      <c r="H31" s="155">
        <v>15</v>
      </c>
      <c r="I31" s="155">
        <v>15</v>
      </c>
      <c r="J31" s="155">
        <v>15</v>
      </c>
      <c r="K31" s="127">
        <v>15</v>
      </c>
      <c r="L31" s="155">
        <v>15</v>
      </c>
      <c r="M31" s="155">
        <v>15</v>
      </c>
      <c r="N31" s="732"/>
      <c r="O31" s="427">
        <f t="shared" si="5"/>
        <v>180</v>
      </c>
    </row>
    <row r="32" spans="1:15" ht="25" customHeight="1" thickBot="1" x14ac:dyDescent="0.25">
      <c r="A32" s="45" t="s">
        <v>85</v>
      </c>
      <c r="B32" s="155">
        <v>20</v>
      </c>
      <c r="C32" s="155">
        <v>20</v>
      </c>
      <c r="D32" s="155">
        <v>20</v>
      </c>
      <c r="E32" s="155">
        <v>20</v>
      </c>
      <c r="F32" s="155">
        <v>20</v>
      </c>
      <c r="G32" s="155">
        <v>20</v>
      </c>
      <c r="H32" s="155">
        <v>20</v>
      </c>
      <c r="I32" s="155">
        <v>20</v>
      </c>
      <c r="J32" s="155">
        <v>20</v>
      </c>
      <c r="K32" s="127">
        <v>20</v>
      </c>
      <c r="L32" s="155">
        <v>20</v>
      </c>
      <c r="M32" s="155">
        <v>20</v>
      </c>
      <c r="N32" s="732"/>
      <c r="O32" s="427">
        <f t="shared" si="5"/>
        <v>240</v>
      </c>
    </row>
    <row r="33" spans="1:15" ht="25" customHeight="1" thickBot="1" x14ac:dyDescent="0.25">
      <c r="A33" s="45" t="s">
        <v>66</v>
      </c>
      <c r="B33" s="155">
        <v>8</v>
      </c>
      <c r="C33" s="155">
        <v>8</v>
      </c>
      <c r="D33" s="155">
        <v>8</v>
      </c>
      <c r="E33" s="155">
        <v>8</v>
      </c>
      <c r="F33" s="155">
        <v>8</v>
      </c>
      <c r="G33" s="155">
        <v>8</v>
      </c>
      <c r="H33" s="155">
        <v>8</v>
      </c>
      <c r="I33" s="155">
        <v>8</v>
      </c>
      <c r="J33" s="155">
        <v>8</v>
      </c>
      <c r="K33" s="127">
        <v>6</v>
      </c>
      <c r="L33" s="155">
        <v>6</v>
      </c>
      <c r="M33" s="155">
        <v>6</v>
      </c>
      <c r="N33" s="732"/>
      <c r="O33" s="427">
        <f t="shared" si="5"/>
        <v>90</v>
      </c>
    </row>
    <row r="34" spans="1:15" ht="25" customHeight="1" thickBot="1" x14ac:dyDescent="0.25">
      <c r="A34" s="45" t="s">
        <v>67</v>
      </c>
      <c r="B34" s="155">
        <v>12</v>
      </c>
      <c r="C34" s="155">
        <v>12</v>
      </c>
      <c r="D34" s="155">
        <v>12</v>
      </c>
      <c r="E34" s="155">
        <v>12</v>
      </c>
      <c r="F34" s="155">
        <v>12</v>
      </c>
      <c r="G34" s="155">
        <v>12</v>
      </c>
      <c r="H34" s="155">
        <v>12</v>
      </c>
      <c r="I34" s="155">
        <v>12</v>
      </c>
      <c r="J34" s="155">
        <v>12</v>
      </c>
      <c r="K34" s="127">
        <v>12</v>
      </c>
      <c r="L34" s="155">
        <v>12</v>
      </c>
      <c r="M34" s="155">
        <v>12</v>
      </c>
      <c r="N34" s="732"/>
      <c r="O34" s="427">
        <f t="shared" si="5"/>
        <v>144</v>
      </c>
    </row>
    <row r="35" spans="1:15" ht="25" customHeight="1" thickBot="1" x14ac:dyDescent="0.25">
      <c r="A35" s="385" t="s">
        <v>115</v>
      </c>
      <c r="B35" s="386">
        <v>8</v>
      </c>
      <c r="C35" s="386">
        <v>8</v>
      </c>
      <c r="D35" s="386">
        <v>8</v>
      </c>
      <c r="E35" s="386">
        <v>8</v>
      </c>
      <c r="F35" s="386">
        <v>8</v>
      </c>
      <c r="G35" s="386">
        <v>8</v>
      </c>
      <c r="H35" s="386">
        <v>8</v>
      </c>
      <c r="I35" s="386">
        <v>8</v>
      </c>
      <c r="J35" s="386">
        <v>8</v>
      </c>
      <c r="K35" s="392">
        <v>8</v>
      </c>
      <c r="L35" s="386">
        <v>8</v>
      </c>
      <c r="M35" s="386">
        <v>8</v>
      </c>
      <c r="N35" s="732"/>
      <c r="O35" s="427">
        <f t="shared" si="5"/>
        <v>96</v>
      </c>
    </row>
    <row r="36" spans="1:15" ht="44" customHeight="1" thickBot="1" x14ac:dyDescent="0.25">
      <c r="A36" s="380" t="s">
        <v>137</v>
      </c>
      <c r="B36" s="384">
        <f t="shared" ref="B36:M36" si="6">SUM(B26:B35)</f>
        <v>141</v>
      </c>
      <c r="C36" s="384">
        <f t="shared" si="6"/>
        <v>141</v>
      </c>
      <c r="D36" s="384">
        <f t="shared" si="6"/>
        <v>141</v>
      </c>
      <c r="E36" s="384">
        <f t="shared" si="6"/>
        <v>141</v>
      </c>
      <c r="F36" s="384">
        <f t="shared" si="6"/>
        <v>141</v>
      </c>
      <c r="G36" s="393">
        <f t="shared" si="6"/>
        <v>141</v>
      </c>
      <c r="H36" s="384">
        <f t="shared" si="6"/>
        <v>141</v>
      </c>
      <c r="I36" s="384">
        <f t="shared" si="6"/>
        <v>141</v>
      </c>
      <c r="J36" s="384">
        <f t="shared" si="6"/>
        <v>141</v>
      </c>
      <c r="K36" s="383">
        <f t="shared" si="6"/>
        <v>139</v>
      </c>
      <c r="L36" s="384">
        <f t="shared" si="6"/>
        <v>139</v>
      </c>
      <c r="M36" s="384">
        <f t="shared" si="6"/>
        <v>139</v>
      </c>
      <c r="N36" s="790"/>
      <c r="O36" s="412">
        <f>SUM(O26:O35)</f>
        <v>1686</v>
      </c>
    </row>
    <row r="37" spans="1:15" ht="45" customHeight="1" thickBot="1" x14ac:dyDescent="0.25">
      <c r="A37" s="818" t="s">
        <v>141</v>
      </c>
      <c r="B37" s="819"/>
      <c r="C37" s="819"/>
      <c r="D37" s="819"/>
      <c r="E37" s="819"/>
      <c r="F37" s="819"/>
      <c r="G37" s="819"/>
      <c r="H37" s="819"/>
      <c r="I37" s="819"/>
      <c r="J37" s="819"/>
      <c r="K37" s="819"/>
      <c r="L37" s="819"/>
      <c r="M37" s="820"/>
      <c r="N37" s="732"/>
      <c r="O37" s="414"/>
    </row>
    <row r="38" spans="1:15" ht="25" customHeight="1" thickBot="1" x14ac:dyDescent="0.25">
      <c r="A38" s="428" t="s">
        <v>21</v>
      </c>
      <c r="B38" s="429"/>
      <c r="C38" s="429"/>
      <c r="D38" s="429"/>
      <c r="E38" s="429"/>
      <c r="F38" s="429"/>
      <c r="G38" s="429"/>
      <c r="H38" s="429"/>
      <c r="I38" s="429"/>
      <c r="J38" s="429"/>
      <c r="K38" s="128"/>
      <c r="L38" s="429"/>
      <c r="M38" s="429"/>
      <c r="N38" s="731"/>
      <c r="O38" s="434">
        <f t="shared" ref="O38:O43" si="7">SUM(B38:M38)</f>
        <v>0</v>
      </c>
    </row>
    <row r="39" spans="1:15" ht="25" customHeight="1" thickBot="1" x14ac:dyDescent="0.25">
      <c r="A39" s="428" t="s">
        <v>56</v>
      </c>
      <c r="B39" s="429">
        <v>180</v>
      </c>
      <c r="C39" s="429">
        <v>180</v>
      </c>
      <c r="D39" s="429">
        <v>180</v>
      </c>
      <c r="E39" s="429">
        <v>180</v>
      </c>
      <c r="F39" s="429">
        <v>180</v>
      </c>
      <c r="G39" s="429">
        <v>180</v>
      </c>
      <c r="H39" s="429">
        <v>180</v>
      </c>
      <c r="I39" s="429">
        <v>180</v>
      </c>
      <c r="J39" s="429">
        <v>180</v>
      </c>
      <c r="K39" s="128">
        <v>180</v>
      </c>
      <c r="L39" s="429">
        <v>180</v>
      </c>
      <c r="M39" s="429">
        <v>180</v>
      </c>
      <c r="N39" s="731"/>
      <c r="O39" s="434">
        <f t="shared" si="7"/>
        <v>2160</v>
      </c>
    </row>
    <row r="40" spans="1:15" s="22" customFormat="1" ht="25" customHeight="1" thickBot="1" x14ac:dyDescent="0.25">
      <c r="A40" s="428" t="s">
        <v>22</v>
      </c>
      <c r="B40" s="429">
        <v>50</v>
      </c>
      <c r="C40" s="429">
        <v>50</v>
      </c>
      <c r="D40" s="429">
        <v>50</v>
      </c>
      <c r="E40" s="429">
        <v>50</v>
      </c>
      <c r="F40" s="429">
        <v>50</v>
      </c>
      <c r="G40" s="430">
        <v>50</v>
      </c>
      <c r="H40" s="430">
        <v>50</v>
      </c>
      <c r="I40" s="430">
        <v>50</v>
      </c>
      <c r="J40" s="430">
        <v>50</v>
      </c>
      <c r="K40" s="128">
        <v>50</v>
      </c>
      <c r="L40" s="429">
        <v>50</v>
      </c>
      <c r="M40" s="429">
        <v>50</v>
      </c>
      <c r="N40" s="731"/>
      <c r="O40" s="434">
        <f t="shared" si="7"/>
        <v>600</v>
      </c>
    </row>
    <row r="41" spans="1:15" ht="25" customHeight="1" thickBot="1" x14ac:dyDescent="0.25">
      <c r="A41" s="428" t="s">
        <v>55</v>
      </c>
      <c r="B41" s="429"/>
      <c r="C41" s="429"/>
      <c r="D41" s="429"/>
      <c r="E41" s="429"/>
      <c r="F41" s="429"/>
      <c r="G41" s="429"/>
      <c r="H41" s="429"/>
      <c r="I41" s="429"/>
      <c r="J41" s="429"/>
      <c r="K41" s="128"/>
      <c r="L41" s="429"/>
      <c r="M41" s="429"/>
      <c r="N41" s="732"/>
      <c r="O41" s="434">
        <f t="shared" si="7"/>
        <v>0</v>
      </c>
    </row>
    <row r="42" spans="1:15" ht="25" customHeight="1" thickBot="1" x14ac:dyDescent="0.25">
      <c r="A42" s="428" t="s">
        <v>58</v>
      </c>
      <c r="B42" s="429"/>
      <c r="C42" s="429"/>
      <c r="D42" s="429"/>
      <c r="E42" s="429"/>
      <c r="F42" s="429"/>
      <c r="G42" s="430"/>
      <c r="H42" s="429"/>
      <c r="I42" s="429"/>
      <c r="J42" s="429"/>
      <c r="K42" s="128"/>
      <c r="L42" s="429"/>
      <c r="M42" s="429"/>
      <c r="N42" s="732"/>
      <c r="O42" s="434">
        <f t="shared" si="7"/>
        <v>0</v>
      </c>
    </row>
    <row r="43" spans="1:15" ht="25" customHeight="1" thickBot="1" x14ac:dyDescent="0.25">
      <c r="A43" s="431" t="s">
        <v>57</v>
      </c>
      <c r="B43" s="432"/>
      <c r="C43" s="432"/>
      <c r="D43" s="432"/>
      <c r="E43" s="432"/>
      <c r="F43" s="432"/>
      <c r="G43" s="433"/>
      <c r="H43" s="432"/>
      <c r="I43" s="432"/>
      <c r="J43" s="432"/>
      <c r="K43" s="530"/>
      <c r="L43" s="432"/>
      <c r="M43" s="432"/>
      <c r="N43" s="731"/>
      <c r="O43" s="434">
        <f t="shared" si="7"/>
        <v>0</v>
      </c>
    </row>
    <row r="44" spans="1:15" ht="42" customHeight="1" thickBot="1" x14ac:dyDescent="0.25">
      <c r="A44" s="380" t="s">
        <v>137</v>
      </c>
      <c r="B44" s="395">
        <f t="shared" ref="B44:M44" si="8">SUM(B38:B43)</f>
        <v>230</v>
      </c>
      <c r="C44" s="395">
        <f t="shared" si="8"/>
        <v>230</v>
      </c>
      <c r="D44" s="395">
        <f t="shared" si="8"/>
        <v>230</v>
      </c>
      <c r="E44" s="395">
        <f t="shared" si="8"/>
        <v>230</v>
      </c>
      <c r="F44" s="395">
        <f t="shared" si="8"/>
        <v>230</v>
      </c>
      <c r="G44" s="396">
        <f t="shared" si="8"/>
        <v>230</v>
      </c>
      <c r="H44" s="395">
        <f t="shared" si="8"/>
        <v>230</v>
      </c>
      <c r="I44" s="395">
        <f t="shared" si="8"/>
        <v>230</v>
      </c>
      <c r="J44" s="395">
        <f t="shared" si="8"/>
        <v>230</v>
      </c>
      <c r="K44" s="397">
        <f t="shared" si="8"/>
        <v>230</v>
      </c>
      <c r="L44" s="398">
        <f t="shared" si="8"/>
        <v>230</v>
      </c>
      <c r="M44" s="398">
        <f t="shared" si="8"/>
        <v>230</v>
      </c>
      <c r="N44" s="790"/>
      <c r="O44" s="412">
        <f>SUM(O38:O43)</f>
        <v>2760</v>
      </c>
    </row>
    <row r="45" spans="1:15" ht="45" customHeight="1" thickBot="1" x14ac:dyDescent="0.25">
      <c r="A45" s="806" t="s">
        <v>142</v>
      </c>
      <c r="B45" s="807"/>
      <c r="C45" s="807"/>
      <c r="D45" s="807"/>
      <c r="E45" s="807"/>
      <c r="F45" s="807"/>
      <c r="G45" s="807"/>
      <c r="H45" s="807"/>
      <c r="I45" s="807"/>
      <c r="J45" s="807"/>
      <c r="K45" s="807"/>
      <c r="L45" s="807"/>
      <c r="M45" s="808"/>
      <c r="N45" s="732"/>
      <c r="O45" s="414"/>
    </row>
    <row r="46" spans="1:15" ht="25" customHeight="1" thickBot="1" x14ac:dyDescent="0.25">
      <c r="A46" s="441" t="s">
        <v>24</v>
      </c>
      <c r="B46" s="442"/>
      <c r="C46" s="442"/>
      <c r="D46" s="442"/>
      <c r="E46" s="442"/>
      <c r="F46" s="442"/>
      <c r="G46" s="443"/>
      <c r="H46" s="442"/>
      <c r="I46" s="442"/>
      <c r="J46" s="442"/>
      <c r="K46" s="399"/>
      <c r="L46" s="447"/>
      <c r="M46" s="447"/>
      <c r="N46" s="731"/>
      <c r="O46" s="427">
        <f t="shared" ref="O46:O60" si="9">SUM(B46:M46)</f>
        <v>0</v>
      </c>
    </row>
    <row r="47" spans="1:15" ht="25" customHeight="1" thickBot="1" x14ac:dyDescent="0.25">
      <c r="A47" s="444"/>
      <c r="B47" s="445"/>
      <c r="C47" s="445"/>
      <c r="D47" s="445"/>
      <c r="E47" s="445"/>
      <c r="F47" s="445"/>
      <c r="G47" s="446"/>
      <c r="H47" s="445"/>
      <c r="I47" s="445"/>
      <c r="J47" s="445"/>
      <c r="K47" s="410"/>
      <c r="L47" s="448"/>
      <c r="M47" s="448"/>
      <c r="N47" s="790"/>
      <c r="O47" s="427"/>
    </row>
    <row r="48" spans="1:15" ht="37" customHeight="1" thickBot="1" x14ac:dyDescent="0.25">
      <c r="A48" s="401" t="s">
        <v>137</v>
      </c>
      <c r="B48" s="402">
        <f>SUM(B46)</f>
        <v>0</v>
      </c>
      <c r="C48" s="402">
        <f t="shared" ref="C48:J48" si="10">SUM(C46)</f>
        <v>0</v>
      </c>
      <c r="D48" s="402">
        <f t="shared" si="10"/>
        <v>0</v>
      </c>
      <c r="E48" s="402">
        <f t="shared" si="10"/>
        <v>0</v>
      </c>
      <c r="F48" s="402">
        <f t="shared" si="10"/>
        <v>0</v>
      </c>
      <c r="G48" s="402">
        <f t="shared" si="10"/>
        <v>0</v>
      </c>
      <c r="H48" s="402">
        <f t="shared" si="10"/>
        <v>0</v>
      </c>
      <c r="I48" s="402">
        <f t="shared" si="10"/>
        <v>0</v>
      </c>
      <c r="J48" s="402">
        <f t="shared" si="10"/>
        <v>0</v>
      </c>
      <c r="K48" s="400">
        <f>SUM(K46)</f>
        <v>0</v>
      </c>
      <c r="L48" s="402">
        <f>SUM(L46)</f>
        <v>0</v>
      </c>
      <c r="M48" s="402">
        <f t="shared" ref="M48" si="11">SUM(M46)</f>
        <v>0</v>
      </c>
      <c r="N48" s="790"/>
      <c r="O48" s="412">
        <f>SUM(O46:O47)</f>
        <v>0</v>
      </c>
    </row>
    <row r="49" spans="1:15" ht="44" customHeight="1" thickBot="1" x14ac:dyDescent="0.25">
      <c r="A49" s="821" t="s">
        <v>144</v>
      </c>
      <c r="B49" s="822"/>
      <c r="C49" s="822"/>
      <c r="D49" s="822"/>
      <c r="E49" s="822"/>
      <c r="F49" s="822"/>
      <c r="G49" s="822"/>
      <c r="H49" s="822"/>
      <c r="I49" s="822"/>
      <c r="J49" s="822"/>
      <c r="K49" s="822"/>
      <c r="L49" s="822"/>
      <c r="M49" s="823"/>
      <c r="N49" s="732"/>
      <c r="O49" s="414"/>
    </row>
    <row r="50" spans="1:15" ht="32" customHeight="1" thickBot="1" x14ac:dyDescent="0.25">
      <c r="A50" s="435" t="s">
        <v>112</v>
      </c>
      <c r="B50" s="436"/>
      <c r="C50" s="436"/>
      <c r="D50" s="436"/>
      <c r="E50" s="436"/>
      <c r="F50" s="436"/>
      <c r="G50" s="430"/>
      <c r="H50" s="436"/>
      <c r="I50" s="436"/>
      <c r="J50" s="436"/>
      <c r="K50" s="304"/>
      <c r="L50" s="439"/>
      <c r="M50" s="439"/>
      <c r="N50" s="732"/>
      <c r="O50" s="427">
        <f t="shared" si="9"/>
        <v>0</v>
      </c>
    </row>
    <row r="51" spans="1:15" ht="25" customHeight="1" thickBot="1" x14ac:dyDescent="0.25">
      <c r="A51" s="437" t="s">
        <v>125</v>
      </c>
      <c r="B51" s="438">
        <v>175</v>
      </c>
      <c r="C51" s="438">
        <v>175</v>
      </c>
      <c r="D51" s="438">
        <v>175</v>
      </c>
      <c r="E51" s="438">
        <v>175</v>
      </c>
      <c r="F51" s="438">
        <v>175</v>
      </c>
      <c r="G51" s="438">
        <v>175</v>
      </c>
      <c r="H51" s="438">
        <v>175</v>
      </c>
      <c r="I51" s="438">
        <v>175</v>
      </c>
      <c r="J51" s="438">
        <v>175</v>
      </c>
      <c r="K51" s="399">
        <v>175</v>
      </c>
      <c r="L51" s="440">
        <v>175</v>
      </c>
      <c r="M51" s="440">
        <v>175</v>
      </c>
      <c r="N51" s="732"/>
      <c r="O51" s="427">
        <f t="shared" si="9"/>
        <v>2100</v>
      </c>
    </row>
    <row r="52" spans="1:15" ht="45" customHeight="1" thickBot="1" x14ac:dyDescent="0.25">
      <c r="A52" s="380" t="s">
        <v>137</v>
      </c>
      <c r="B52" s="384">
        <f>SUM(B50:B51)</f>
        <v>175</v>
      </c>
      <c r="C52" s="384">
        <f>SUM(C50:C51)</f>
        <v>175</v>
      </c>
      <c r="D52" s="384">
        <f t="shared" ref="D52:J52" si="12">SUM(D50:D51)</f>
        <v>175</v>
      </c>
      <c r="E52" s="384">
        <f t="shared" si="12"/>
        <v>175</v>
      </c>
      <c r="F52" s="384">
        <f t="shared" si="12"/>
        <v>175</v>
      </c>
      <c r="G52" s="384">
        <f t="shared" si="12"/>
        <v>175</v>
      </c>
      <c r="H52" s="384">
        <f t="shared" si="12"/>
        <v>175</v>
      </c>
      <c r="I52" s="384">
        <f t="shared" si="12"/>
        <v>175</v>
      </c>
      <c r="J52" s="384">
        <f t="shared" si="12"/>
        <v>175</v>
      </c>
      <c r="K52" s="383">
        <f>SUM(K50:K51)</f>
        <v>175</v>
      </c>
      <c r="L52" s="381">
        <f>SUM(L50:L51)</f>
        <v>175</v>
      </c>
      <c r="M52" s="381">
        <f>SUM(M50:M51)</f>
        <v>175</v>
      </c>
      <c r="N52" s="790"/>
      <c r="O52" s="412">
        <f t="shared" si="9"/>
        <v>2100</v>
      </c>
    </row>
    <row r="53" spans="1:15" ht="39" customHeight="1" thickBot="1" x14ac:dyDescent="0.25">
      <c r="A53" s="806" t="s">
        <v>147</v>
      </c>
      <c r="B53" s="807"/>
      <c r="C53" s="807"/>
      <c r="D53" s="807"/>
      <c r="E53" s="807"/>
      <c r="F53" s="807"/>
      <c r="G53" s="807"/>
      <c r="H53" s="807"/>
      <c r="I53" s="807"/>
      <c r="J53" s="807"/>
      <c r="K53" s="807"/>
      <c r="L53" s="807"/>
      <c r="M53" s="808"/>
      <c r="N53" s="732"/>
      <c r="O53" s="414"/>
    </row>
    <row r="54" spans="1:15" ht="25" customHeight="1" thickBot="1" x14ac:dyDescent="0.25">
      <c r="A54" s="449" t="s">
        <v>52</v>
      </c>
      <c r="B54" s="378">
        <v>40</v>
      </c>
      <c r="C54" s="378">
        <v>40</v>
      </c>
      <c r="D54" s="378">
        <v>60</v>
      </c>
      <c r="E54" s="378">
        <v>60</v>
      </c>
      <c r="F54" s="378">
        <v>60</v>
      </c>
      <c r="G54" s="430">
        <v>60</v>
      </c>
      <c r="H54" s="378">
        <v>60</v>
      </c>
      <c r="I54" s="378">
        <v>60</v>
      </c>
      <c r="J54" s="531">
        <v>60</v>
      </c>
      <c r="K54" s="127">
        <v>60</v>
      </c>
      <c r="L54" s="452">
        <v>60</v>
      </c>
      <c r="M54" s="452">
        <v>60</v>
      </c>
      <c r="N54" s="732"/>
      <c r="O54" s="427">
        <f t="shared" si="9"/>
        <v>680</v>
      </c>
    </row>
    <row r="55" spans="1:15" ht="25" customHeight="1" thickBot="1" x14ac:dyDescent="0.25">
      <c r="A55" s="449" t="s">
        <v>44</v>
      </c>
      <c r="B55" s="378"/>
      <c r="C55" s="378"/>
      <c r="D55" s="378"/>
      <c r="E55" s="378"/>
      <c r="F55" s="378"/>
      <c r="G55" s="430"/>
      <c r="H55" s="378"/>
      <c r="I55" s="378"/>
      <c r="J55" s="531"/>
      <c r="K55" s="127">
        <v>100</v>
      </c>
      <c r="L55" s="452"/>
      <c r="M55" s="452"/>
      <c r="N55" s="732"/>
      <c r="O55" s="427">
        <f t="shared" si="9"/>
        <v>100</v>
      </c>
    </row>
    <row r="56" spans="1:15" ht="25" customHeight="1" thickBot="1" x14ac:dyDescent="0.25">
      <c r="A56" s="450" t="s">
        <v>28</v>
      </c>
      <c r="B56" s="451"/>
      <c r="C56" s="451"/>
      <c r="D56" s="451"/>
      <c r="E56" s="451"/>
      <c r="F56" s="451"/>
      <c r="G56" s="433"/>
      <c r="H56" s="451"/>
      <c r="I56" s="451"/>
      <c r="J56" s="532"/>
      <c r="K56" s="392"/>
      <c r="L56" s="453"/>
      <c r="M56" s="453"/>
      <c r="N56" s="732"/>
      <c r="O56" s="427">
        <f t="shared" si="9"/>
        <v>0</v>
      </c>
    </row>
    <row r="57" spans="1:15" ht="41" customHeight="1" thickBot="1" x14ac:dyDescent="0.25">
      <c r="A57" s="387" t="s">
        <v>137</v>
      </c>
      <c r="B57" s="388">
        <f>SUM(B54:B56)</f>
        <v>40</v>
      </c>
      <c r="C57" s="388">
        <f t="shared" ref="C57:M57" si="13">SUM(C54:C56)</f>
        <v>40</v>
      </c>
      <c r="D57" s="388">
        <f t="shared" si="13"/>
        <v>60</v>
      </c>
      <c r="E57" s="388">
        <f t="shared" si="13"/>
        <v>60</v>
      </c>
      <c r="F57" s="388">
        <f t="shared" si="13"/>
        <v>60</v>
      </c>
      <c r="G57" s="388">
        <f t="shared" si="13"/>
        <v>60</v>
      </c>
      <c r="H57" s="388">
        <f t="shared" si="13"/>
        <v>60</v>
      </c>
      <c r="I57" s="388">
        <f t="shared" si="13"/>
        <v>60</v>
      </c>
      <c r="J57" s="388">
        <f t="shared" si="13"/>
        <v>60</v>
      </c>
      <c r="K57" s="388">
        <f t="shared" si="13"/>
        <v>160</v>
      </c>
      <c r="L57" s="388">
        <f t="shared" si="13"/>
        <v>60</v>
      </c>
      <c r="M57" s="388">
        <f t="shared" si="13"/>
        <v>60</v>
      </c>
      <c r="N57" s="790"/>
      <c r="O57" s="412">
        <f>SUM(O54:O56)</f>
        <v>780</v>
      </c>
    </row>
    <row r="58" spans="1:15" ht="45" customHeight="1" thickBot="1" x14ac:dyDescent="0.25">
      <c r="A58" s="809" t="s">
        <v>155</v>
      </c>
      <c r="B58" s="810"/>
      <c r="C58" s="810"/>
      <c r="D58" s="810"/>
      <c r="E58" s="810"/>
      <c r="F58" s="810"/>
      <c r="G58" s="810"/>
      <c r="H58" s="810"/>
      <c r="I58" s="810"/>
      <c r="J58" s="810"/>
      <c r="K58" s="810"/>
      <c r="L58" s="810"/>
      <c r="M58" s="811"/>
      <c r="N58" s="732"/>
      <c r="O58" s="489"/>
    </row>
    <row r="59" spans="1:15" ht="25" customHeight="1" thickBot="1" x14ac:dyDescent="0.25">
      <c r="A59" s="449" t="s">
        <v>128</v>
      </c>
      <c r="B59" s="378"/>
      <c r="C59" s="378"/>
      <c r="D59" s="378"/>
      <c r="E59" s="378"/>
      <c r="F59" s="378"/>
      <c r="G59" s="378"/>
      <c r="H59" s="378"/>
      <c r="I59" s="378"/>
      <c r="J59" s="378"/>
      <c r="K59" s="127"/>
      <c r="L59" s="452"/>
      <c r="M59" s="452"/>
      <c r="N59" s="732"/>
      <c r="O59" s="427">
        <f t="shared" si="9"/>
        <v>0</v>
      </c>
    </row>
    <row r="60" spans="1:15" ht="25" customHeight="1" thickBot="1" x14ac:dyDescent="0.25">
      <c r="A60" s="450" t="s">
        <v>32</v>
      </c>
      <c r="B60" s="451"/>
      <c r="C60" s="451"/>
      <c r="D60" s="451"/>
      <c r="E60" s="451"/>
      <c r="F60" s="451"/>
      <c r="G60" s="433"/>
      <c r="H60" s="451"/>
      <c r="I60" s="451"/>
      <c r="J60" s="451"/>
      <c r="K60" s="392"/>
      <c r="L60" s="453"/>
      <c r="M60" s="453"/>
      <c r="N60" s="732"/>
      <c r="O60" s="427">
        <f t="shared" si="9"/>
        <v>0</v>
      </c>
    </row>
    <row r="61" spans="1:15" ht="41" customHeight="1" thickBot="1" x14ac:dyDescent="0.25">
      <c r="A61" s="404" t="s">
        <v>137</v>
      </c>
      <c r="B61" s="384">
        <f>SUM(B58:B60)</f>
        <v>0</v>
      </c>
      <c r="C61" s="384">
        <f t="shared" ref="C61:M61" si="14">SUM(C58:C60)</f>
        <v>0</v>
      </c>
      <c r="D61" s="384">
        <f t="shared" si="14"/>
        <v>0</v>
      </c>
      <c r="E61" s="384">
        <f t="shared" si="14"/>
        <v>0</v>
      </c>
      <c r="F61" s="384">
        <f t="shared" si="14"/>
        <v>0</v>
      </c>
      <c r="G61" s="384">
        <f t="shared" si="14"/>
        <v>0</v>
      </c>
      <c r="H61" s="384">
        <f t="shared" si="14"/>
        <v>0</v>
      </c>
      <c r="I61" s="384">
        <f t="shared" si="14"/>
        <v>0</v>
      </c>
      <c r="J61" s="384">
        <f t="shared" si="14"/>
        <v>0</v>
      </c>
      <c r="K61" s="384">
        <f t="shared" si="14"/>
        <v>0</v>
      </c>
      <c r="L61" s="384">
        <f t="shared" si="14"/>
        <v>0</v>
      </c>
      <c r="M61" s="384">
        <f t="shared" si="14"/>
        <v>0</v>
      </c>
      <c r="N61" s="790"/>
      <c r="O61" s="412">
        <f>SUM(O58:O60)</f>
        <v>0</v>
      </c>
    </row>
    <row r="62" spans="1:15" ht="38" customHeight="1" thickBot="1" x14ac:dyDescent="0.25">
      <c r="A62" s="803" t="s">
        <v>42</v>
      </c>
      <c r="B62" s="804"/>
      <c r="C62" s="804"/>
      <c r="D62" s="804"/>
      <c r="E62" s="804"/>
      <c r="F62" s="804"/>
      <c r="G62" s="804"/>
      <c r="H62" s="804"/>
      <c r="I62" s="804"/>
      <c r="J62" s="804"/>
      <c r="K62" s="804"/>
      <c r="L62" s="804"/>
      <c r="M62" s="805"/>
      <c r="N62" s="731"/>
      <c r="O62" s="414"/>
    </row>
    <row r="63" spans="1:15" ht="29" customHeight="1" thickBot="1" x14ac:dyDescent="0.25">
      <c r="A63" s="428" t="s">
        <v>40</v>
      </c>
      <c r="B63" s="429">
        <v>300</v>
      </c>
      <c r="C63" s="429">
        <v>300</v>
      </c>
      <c r="D63" s="429">
        <v>300</v>
      </c>
      <c r="E63" s="429">
        <v>300</v>
      </c>
      <c r="F63" s="429">
        <v>300</v>
      </c>
      <c r="G63" s="429">
        <v>300</v>
      </c>
      <c r="H63" s="429">
        <v>300</v>
      </c>
      <c r="I63" s="429">
        <v>300</v>
      </c>
      <c r="J63" s="429">
        <v>300</v>
      </c>
      <c r="K63" s="129"/>
      <c r="L63" s="454"/>
      <c r="M63" s="454"/>
      <c r="N63" s="731"/>
      <c r="O63" s="427">
        <f t="shared" ref="O63:O69" si="15">SUM(B63:M63)</f>
        <v>2700</v>
      </c>
    </row>
    <row r="64" spans="1:15" ht="33" customHeight="1" thickBot="1" x14ac:dyDescent="0.25">
      <c r="A64" s="428" t="s">
        <v>34</v>
      </c>
      <c r="B64" s="429"/>
      <c r="C64" s="429">
        <v>100</v>
      </c>
      <c r="D64" s="429">
        <v>100</v>
      </c>
      <c r="E64" s="429">
        <v>100</v>
      </c>
      <c r="F64" s="429">
        <v>100</v>
      </c>
      <c r="G64" s="429">
        <v>100</v>
      </c>
      <c r="H64" s="429">
        <v>100</v>
      </c>
      <c r="I64" s="429">
        <v>100</v>
      </c>
      <c r="J64" s="429">
        <v>100</v>
      </c>
      <c r="K64" s="130">
        <v>100</v>
      </c>
      <c r="L64" s="454">
        <v>100</v>
      </c>
      <c r="M64" s="454">
        <v>100</v>
      </c>
      <c r="N64" s="732"/>
      <c r="O64" s="427">
        <f t="shared" si="15"/>
        <v>1100</v>
      </c>
    </row>
    <row r="65" spans="1:15" ht="33" customHeight="1" thickBot="1" x14ac:dyDescent="0.25">
      <c r="A65" s="431" t="s">
        <v>79</v>
      </c>
      <c r="B65" s="432">
        <v>700</v>
      </c>
      <c r="C65" s="432">
        <v>700</v>
      </c>
      <c r="D65" s="432">
        <v>700</v>
      </c>
      <c r="E65" s="432">
        <v>700</v>
      </c>
      <c r="F65" s="432">
        <v>700</v>
      </c>
      <c r="G65" s="432">
        <v>700</v>
      </c>
      <c r="H65" s="432">
        <v>700</v>
      </c>
      <c r="I65" s="432">
        <v>700</v>
      </c>
      <c r="J65" s="432">
        <v>700</v>
      </c>
      <c r="K65" s="394">
        <v>9000</v>
      </c>
      <c r="L65" s="455">
        <v>300</v>
      </c>
      <c r="M65" s="455">
        <v>300</v>
      </c>
      <c r="N65" s="732"/>
      <c r="O65" s="427">
        <f t="shared" si="15"/>
        <v>15900</v>
      </c>
    </row>
    <row r="66" spans="1:15" ht="44" customHeight="1" thickBot="1" x14ac:dyDescent="0.25">
      <c r="A66" s="405" t="s">
        <v>137</v>
      </c>
      <c r="B66" s="406">
        <f>SUM(B63:B65)</f>
        <v>1000</v>
      </c>
      <c r="C66" s="406">
        <f t="shared" ref="C66:J66" si="16">SUM(C63:C65)</f>
        <v>1100</v>
      </c>
      <c r="D66" s="406">
        <f t="shared" si="16"/>
        <v>1100</v>
      </c>
      <c r="E66" s="406">
        <f t="shared" si="16"/>
        <v>1100</v>
      </c>
      <c r="F66" s="406">
        <f t="shared" si="16"/>
        <v>1100</v>
      </c>
      <c r="G66" s="406">
        <f t="shared" si="16"/>
        <v>1100</v>
      </c>
      <c r="H66" s="406">
        <f t="shared" si="16"/>
        <v>1100</v>
      </c>
      <c r="I66" s="406">
        <f t="shared" si="16"/>
        <v>1100</v>
      </c>
      <c r="J66" s="406">
        <f t="shared" si="16"/>
        <v>1100</v>
      </c>
      <c r="K66" s="407">
        <f>SUM(K63:K65)</f>
        <v>9100</v>
      </c>
      <c r="L66" s="408">
        <f>SUM(L63:L65)</f>
        <v>400</v>
      </c>
      <c r="M66" s="408">
        <f>SUM(M63:M65)</f>
        <v>400</v>
      </c>
      <c r="N66" s="790"/>
      <c r="O66" s="412">
        <f>SUM(O63:O65)</f>
        <v>19700</v>
      </c>
    </row>
    <row r="67" spans="1:15" ht="42" customHeight="1" thickBot="1" x14ac:dyDescent="0.25">
      <c r="A67" s="803" t="s">
        <v>145</v>
      </c>
      <c r="B67" s="804"/>
      <c r="C67" s="804"/>
      <c r="D67" s="804"/>
      <c r="E67" s="804"/>
      <c r="F67" s="804"/>
      <c r="G67" s="804"/>
      <c r="H67" s="804"/>
      <c r="I67" s="804"/>
      <c r="J67" s="804"/>
      <c r="K67" s="804"/>
      <c r="L67" s="804"/>
      <c r="M67" s="805"/>
      <c r="N67" s="732"/>
      <c r="O67" s="414"/>
    </row>
    <row r="68" spans="1:15" ht="33" customHeight="1" thickBot="1" x14ac:dyDescent="0.25">
      <c r="A68" s="428"/>
      <c r="B68" s="456"/>
      <c r="C68" s="456"/>
      <c r="D68" s="456"/>
      <c r="E68" s="456"/>
      <c r="F68" s="456"/>
      <c r="G68" s="456"/>
      <c r="H68" s="456"/>
      <c r="I68" s="456"/>
      <c r="J68" s="456"/>
      <c r="K68" s="130"/>
      <c r="L68" s="454"/>
      <c r="M68" s="454"/>
      <c r="N68" s="732"/>
      <c r="O68" s="427"/>
    </row>
    <row r="69" spans="1:15" ht="32" customHeight="1" thickBot="1" x14ac:dyDescent="0.25">
      <c r="A69" s="431" t="s">
        <v>146</v>
      </c>
      <c r="B69" s="432">
        <v>50</v>
      </c>
      <c r="C69" s="432">
        <v>50</v>
      </c>
      <c r="D69" s="432">
        <v>50</v>
      </c>
      <c r="E69" s="432">
        <v>50</v>
      </c>
      <c r="F69" s="432">
        <v>50</v>
      </c>
      <c r="G69" s="432">
        <v>50</v>
      </c>
      <c r="H69" s="432">
        <v>50</v>
      </c>
      <c r="I69" s="432">
        <v>50</v>
      </c>
      <c r="J69" s="432">
        <v>50</v>
      </c>
      <c r="K69" s="520">
        <v>50</v>
      </c>
      <c r="L69" s="455">
        <v>50</v>
      </c>
      <c r="M69" s="455">
        <v>50</v>
      </c>
      <c r="N69" s="731"/>
      <c r="O69" s="427">
        <f t="shared" si="15"/>
        <v>600</v>
      </c>
    </row>
    <row r="70" spans="1:15" ht="43" customHeight="1" thickBot="1" x14ac:dyDescent="0.25">
      <c r="A70" s="404" t="s">
        <v>137</v>
      </c>
      <c r="B70" s="381">
        <f>SUM(B68:B69)</f>
        <v>50</v>
      </c>
      <c r="C70" s="381">
        <f t="shared" ref="C70:J70" si="17">SUM(C68:C69)</f>
        <v>50</v>
      </c>
      <c r="D70" s="381">
        <f t="shared" si="17"/>
        <v>50</v>
      </c>
      <c r="E70" s="381">
        <f t="shared" si="17"/>
        <v>50</v>
      </c>
      <c r="F70" s="381">
        <f t="shared" si="17"/>
        <v>50</v>
      </c>
      <c r="G70" s="381">
        <f t="shared" si="17"/>
        <v>50</v>
      </c>
      <c r="H70" s="381">
        <f t="shared" si="17"/>
        <v>50</v>
      </c>
      <c r="I70" s="381">
        <f t="shared" si="17"/>
        <v>50</v>
      </c>
      <c r="J70" s="381">
        <f t="shared" si="17"/>
        <v>50</v>
      </c>
      <c r="K70" s="383">
        <f>SUM(K68:K69)</f>
        <v>50</v>
      </c>
      <c r="L70" s="381">
        <f>SUM(L68:L69)</f>
        <v>50</v>
      </c>
      <c r="M70" s="381">
        <f>SUM(M68:M69)</f>
        <v>50</v>
      </c>
      <c r="N70" s="791"/>
      <c r="O70" s="412">
        <f>SUM(O68:O69)</f>
        <v>600</v>
      </c>
    </row>
    <row r="71" spans="1:15" ht="50" customHeight="1" thickTop="1" thickBot="1" x14ac:dyDescent="0.25">
      <c r="A71" s="462" t="s">
        <v>148</v>
      </c>
      <c r="B71" s="463">
        <f>SUM(B7+B17+B24+B36+B44+B48+B52+B57+B61+B66+B70)</f>
        <v>4726</v>
      </c>
      <c r="C71" s="463">
        <f t="shared" ref="C71:I71" si="18">SUM(C7+C17+C24+C36+C44+C48+C52+C57+C61+C66+C70)</f>
        <v>4726</v>
      </c>
      <c r="D71" s="463">
        <f t="shared" si="18"/>
        <v>4696</v>
      </c>
      <c r="E71" s="463">
        <f t="shared" si="18"/>
        <v>4746</v>
      </c>
      <c r="F71" s="463">
        <f t="shared" si="18"/>
        <v>4876</v>
      </c>
      <c r="G71" s="463">
        <f t="shared" si="18"/>
        <v>4746</v>
      </c>
      <c r="H71" s="463">
        <f t="shared" si="18"/>
        <v>4726</v>
      </c>
      <c r="I71" s="463">
        <f t="shared" si="18"/>
        <v>4726</v>
      </c>
      <c r="J71" s="463">
        <f>SUM(J7+J17+J24+J36+J44++J48+J52+J61+J66+J70)</f>
        <v>4796</v>
      </c>
      <c r="K71" s="464">
        <f>SUM(K7+K17+K24+K36+K44++K48+K52+K61+K66+K70)</f>
        <v>12739</v>
      </c>
      <c r="L71" s="463">
        <f>SUM(L7+L17+L24+L36+L44++L48+L52+L61+L66+L70)</f>
        <v>4104</v>
      </c>
      <c r="M71" s="463">
        <f>SUM(M7+M17+M24+M36+M44++M48+M52+M61+M66+M70)</f>
        <v>4104</v>
      </c>
      <c r="N71" s="795"/>
      <c r="O71" s="466">
        <f t="shared" ref="O71:O80" si="19">SUM(B71:M71)</f>
        <v>63711</v>
      </c>
    </row>
    <row r="72" spans="1:15" ht="41" customHeight="1" thickBot="1" x14ac:dyDescent="0.25">
      <c r="A72" s="806" t="s">
        <v>149</v>
      </c>
      <c r="B72" s="807"/>
      <c r="C72" s="807"/>
      <c r="D72" s="807"/>
      <c r="E72" s="807"/>
      <c r="F72" s="807"/>
      <c r="G72" s="807"/>
      <c r="H72" s="807"/>
      <c r="I72" s="807"/>
      <c r="J72" s="807"/>
      <c r="K72" s="807"/>
      <c r="L72" s="807"/>
      <c r="M72" s="808"/>
      <c r="N72" s="796"/>
      <c r="O72" s="465"/>
    </row>
    <row r="73" spans="1:15" ht="33" customHeight="1" thickBot="1" x14ac:dyDescent="0.25">
      <c r="A73" s="490" t="s">
        <v>41</v>
      </c>
      <c r="B73" s="491">
        <v>5400</v>
      </c>
      <c r="C73" s="491">
        <v>5400</v>
      </c>
      <c r="D73" s="491">
        <v>5400</v>
      </c>
      <c r="E73" s="491">
        <v>5400</v>
      </c>
      <c r="F73" s="491">
        <v>5400</v>
      </c>
      <c r="G73" s="491">
        <v>5400</v>
      </c>
      <c r="H73" s="491">
        <v>5400</v>
      </c>
      <c r="I73" s="491">
        <v>5400</v>
      </c>
      <c r="J73" s="491">
        <v>5400</v>
      </c>
      <c r="K73" s="533">
        <v>14500</v>
      </c>
      <c r="L73" s="493">
        <v>5400</v>
      </c>
      <c r="M73" s="493">
        <v>5400</v>
      </c>
      <c r="N73" s="746"/>
      <c r="O73" s="494">
        <f t="shared" si="19"/>
        <v>73900</v>
      </c>
    </row>
    <row r="74" spans="1:15" ht="30" customHeight="1" thickBot="1" x14ac:dyDescent="0.25">
      <c r="A74" s="490" t="s">
        <v>82</v>
      </c>
      <c r="B74" s="495"/>
      <c r="C74" s="495"/>
      <c r="D74" s="495"/>
      <c r="E74" s="495"/>
      <c r="F74" s="495"/>
      <c r="G74" s="495"/>
      <c r="H74" s="495"/>
      <c r="I74" s="495"/>
      <c r="J74" s="495"/>
      <c r="K74" s="534"/>
      <c r="L74" s="497"/>
      <c r="M74" s="497"/>
      <c r="N74" s="747"/>
      <c r="O74" s="494">
        <f t="shared" si="19"/>
        <v>0</v>
      </c>
    </row>
    <row r="75" spans="1:15" ht="29" customHeight="1" thickBot="1" x14ac:dyDescent="0.25">
      <c r="A75" s="490"/>
      <c r="B75" s="491"/>
      <c r="C75" s="491"/>
      <c r="D75" s="491"/>
      <c r="E75" s="491"/>
      <c r="F75" s="491"/>
      <c r="G75" s="498"/>
      <c r="H75" s="491"/>
      <c r="I75" s="491"/>
      <c r="J75" s="491"/>
      <c r="K75" s="533"/>
      <c r="L75" s="493"/>
      <c r="M75" s="493"/>
      <c r="N75" s="746"/>
      <c r="O75" s="494">
        <f t="shared" si="19"/>
        <v>0</v>
      </c>
    </row>
    <row r="76" spans="1:15" ht="30" customHeight="1" thickBot="1" x14ac:dyDescent="0.25">
      <c r="A76" s="499" t="s">
        <v>36</v>
      </c>
      <c r="B76" s="500">
        <v>800</v>
      </c>
      <c r="C76" s="500"/>
      <c r="D76" s="500"/>
      <c r="E76" s="501"/>
      <c r="F76" s="501"/>
      <c r="G76" s="502"/>
      <c r="H76" s="501"/>
      <c r="I76" s="501"/>
      <c r="J76" s="501"/>
      <c r="K76" s="535"/>
      <c r="L76" s="504"/>
      <c r="M76" s="504"/>
      <c r="N76" s="746"/>
      <c r="O76" s="494">
        <f t="shared" si="19"/>
        <v>800</v>
      </c>
    </row>
    <row r="77" spans="1:15" ht="61" customHeight="1" thickBot="1" x14ac:dyDescent="0.25">
      <c r="A77" s="415" t="s">
        <v>152</v>
      </c>
      <c r="B77" s="416">
        <f t="shared" ref="B77:M77" si="20">SUM(B73:B76)</f>
        <v>6200</v>
      </c>
      <c r="C77" s="416">
        <f t="shared" si="20"/>
        <v>5400</v>
      </c>
      <c r="D77" s="416">
        <f t="shared" si="20"/>
        <v>5400</v>
      </c>
      <c r="E77" s="416">
        <f t="shared" si="20"/>
        <v>5400</v>
      </c>
      <c r="F77" s="416">
        <f t="shared" si="20"/>
        <v>5400</v>
      </c>
      <c r="G77" s="417">
        <f t="shared" si="20"/>
        <v>5400</v>
      </c>
      <c r="H77" s="416">
        <f t="shared" si="20"/>
        <v>5400</v>
      </c>
      <c r="I77" s="416">
        <f t="shared" si="20"/>
        <v>5400</v>
      </c>
      <c r="J77" s="416">
        <f t="shared" si="20"/>
        <v>5400</v>
      </c>
      <c r="K77" s="420">
        <f t="shared" si="20"/>
        <v>14500</v>
      </c>
      <c r="L77" s="418">
        <f t="shared" si="20"/>
        <v>5400</v>
      </c>
      <c r="M77" s="418">
        <f t="shared" si="20"/>
        <v>5400</v>
      </c>
      <c r="N77" s="740"/>
      <c r="O77" s="419">
        <f t="shared" si="19"/>
        <v>74700</v>
      </c>
    </row>
    <row r="78" spans="1:15" ht="51" customHeight="1" thickBot="1" x14ac:dyDescent="0.25">
      <c r="A78" s="839" t="s">
        <v>150</v>
      </c>
      <c r="B78" s="840"/>
      <c r="C78" s="840"/>
      <c r="D78" s="840"/>
      <c r="E78" s="840"/>
      <c r="F78" s="840"/>
      <c r="G78" s="840"/>
      <c r="H78" s="840"/>
      <c r="I78" s="840"/>
      <c r="J78" s="840"/>
      <c r="K78" s="840"/>
      <c r="L78" s="840"/>
      <c r="M78" s="841"/>
      <c r="N78" s="747"/>
      <c r="O78" s="516"/>
    </row>
    <row r="79" spans="1:15" ht="23" customHeight="1" thickBot="1" x14ac:dyDescent="0.25">
      <c r="A79" s="457"/>
      <c r="B79" s="458"/>
      <c r="C79" s="458"/>
      <c r="D79" s="458"/>
      <c r="E79" s="458"/>
      <c r="F79" s="458"/>
      <c r="G79" s="459"/>
      <c r="H79" s="458"/>
      <c r="I79" s="458"/>
      <c r="J79" s="458"/>
      <c r="K79" s="411"/>
      <c r="L79" s="460"/>
      <c r="M79" s="460"/>
      <c r="N79" s="747"/>
      <c r="O79" s="461"/>
    </row>
    <row r="80" spans="1:15" s="486" customFormat="1" ht="53" customHeight="1" thickBot="1" x14ac:dyDescent="0.25">
      <c r="A80" s="479" t="s">
        <v>50</v>
      </c>
      <c r="B80" s="480">
        <f>(B77-B71-'[1]House DECO &amp; REPAIR 25'!$C$32)</f>
        <v>1474</v>
      </c>
      <c r="C80" s="480">
        <f>(C77-C71-'[1]House DECO &amp; REPAIR 25'!$D$32)</f>
        <v>674</v>
      </c>
      <c r="D80" s="480">
        <f>(D77-D71-'[1]House DECO &amp; REPAIR 25'!$E$32)</f>
        <v>704</v>
      </c>
      <c r="E80" s="481">
        <f>(E77-E71-'[1]House DECO &amp; REPAIR 25'!$F$32)</f>
        <v>654</v>
      </c>
      <c r="F80" s="481">
        <f>(F77-F71-'[1]House DECO &amp; REPAIR 25'!$G$32)</f>
        <v>524</v>
      </c>
      <c r="G80" s="482">
        <f t="shared" ref="G80:M80" si="21">(G77-G71)</f>
        <v>654</v>
      </c>
      <c r="H80" s="481">
        <f t="shared" si="21"/>
        <v>674</v>
      </c>
      <c r="I80" s="481">
        <f t="shared" si="21"/>
        <v>674</v>
      </c>
      <c r="J80" s="481">
        <f t="shared" si="21"/>
        <v>604</v>
      </c>
      <c r="K80" s="483">
        <f t="shared" si="21"/>
        <v>1761</v>
      </c>
      <c r="L80" s="484">
        <f t="shared" si="21"/>
        <v>1296</v>
      </c>
      <c r="M80" s="484">
        <f t="shared" si="21"/>
        <v>1296</v>
      </c>
      <c r="N80" s="747"/>
      <c r="O80" s="485">
        <f t="shared" si="19"/>
        <v>10989</v>
      </c>
    </row>
    <row r="81" spans="5:15" ht="25" customHeight="1" thickTop="1" x14ac:dyDescent="0.2">
      <c r="E81" s="33"/>
      <c r="F81" s="33"/>
      <c r="G81" s="33"/>
      <c r="H81" s="33"/>
      <c r="I81" s="33"/>
      <c r="J81" s="33"/>
      <c r="K81" s="36"/>
      <c r="L81" s="797" t="s">
        <v>63</v>
      </c>
      <c r="M81" s="798"/>
      <c r="N81" s="799"/>
      <c r="O81" s="816">
        <f>SUM(O4:O80)</f>
        <v>351762</v>
      </c>
    </row>
    <row r="82" spans="5:15" ht="25" customHeight="1" thickBot="1" x14ac:dyDescent="0.25">
      <c r="E82" s="34"/>
      <c r="F82" s="34"/>
      <c r="G82" s="34"/>
      <c r="H82" s="34"/>
      <c r="I82" s="34"/>
      <c r="J82" s="34"/>
      <c r="K82" s="35"/>
      <c r="L82" s="800"/>
      <c r="M82" s="801"/>
      <c r="N82" s="802"/>
      <c r="O82" s="817"/>
    </row>
    <row r="83" spans="5:15" ht="33" customHeight="1" thickBot="1" x14ac:dyDescent="0.25">
      <c r="E83" s="37"/>
      <c r="F83" s="37"/>
      <c r="G83" s="37"/>
      <c r="H83" s="37"/>
      <c r="I83" s="37"/>
      <c r="J83" s="37"/>
      <c r="K83" s="38"/>
      <c r="L83" s="783" t="s">
        <v>64</v>
      </c>
      <c r="M83" s="784"/>
      <c r="N83" s="785"/>
      <c r="O83" s="487">
        <f>SUM(O66+O70)</f>
        <v>20300</v>
      </c>
    </row>
    <row r="84" spans="5:15" ht="38" customHeight="1" thickBot="1" x14ac:dyDescent="0.25">
      <c r="E84" s="39"/>
      <c r="F84" s="39"/>
      <c r="G84" s="39"/>
      <c r="H84" s="39"/>
      <c r="I84" s="39"/>
      <c r="J84" s="39"/>
      <c r="K84" s="40"/>
      <c r="L84" s="786" t="s">
        <v>42</v>
      </c>
      <c r="M84" s="787"/>
      <c r="N84" s="788"/>
      <c r="O84" s="529">
        <f>SUM(B80:M80)</f>
        <v>10989</v>
      </c>
    </row>
    <row r="85" spans="5:15" ht="35" customHeight="1" thickTop="1" x14ac:dyDescent="0.2"/>
    <row r="86" spans="5:15" ht="31" customHeight="1" x14ac:dyDescent="0.2"/>
  </sheetData>
  <mergeCells count="19">
    <mergeCell ref="A58:M58"/>
    <mergeCell ref="O81:O82"/>
    <mergeCell ref="L83:N83"/>
    <mergeCell ref="L84:N84"/>
    <mergeCell ref="A62:M62"/>
    <mergeCell ref="A67:M67"/>
    <mergeCell ref="N71:N80"/>
    <mergeCell ref="A72:M72"/>
    <mergeCell ref="A78:M78"/>
    <mergeCell ref="L81:N82"/>
    <mergeCell ref="N1:N70"/>
    <mergeCell ref="A3:M3"/>
    <mergeCell ref="A8:M8"/>
    <mergeCell ref="A18:M18"/>
    <mergeCell ref="A25:M25"/>
    <mergeCell ref="A37:M37"/>
    <mergeCell ref="A45:M45"/>
    <mergeCell ref="A49:M49"/>
    <mergeCell ref="A53:M53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H25"/>
  <sheetViews>
    <sheetView zoomScale="85" workbookViewId="0">
      <selection activeCell="F6" sqref="F6"/>
    </sheetView>
  </sheetViews>
  <sheetFormatPr baseColWidth="10" defaultColWidth="11.28515625" defaultRowHeight="35" customHeight="1" x14ac:dyDescent="0.2"/>
  <cols>
    <col min="1" max="1" width="30.5703125" style="22" customWidth="1"/>
    <col min="2" max="2" width="27.28515625" style="24" customWidth="1"/>
    <col min="3" max="3" width="26.140625" style="24" customWidth="1"/>
    <col min="4" max="4" width="29.5703125" style="24" customWidth="1"/>
    <col min="5" max="5" width="25.140625" style="24" customWidth="1"/>
    <col min="6" max="7" width="29.42578125" style="24" customWidth="1"/>
    <col min="8" max="8" width="28.5703125" style="22" customWidth="1"/>
    <col min="9" max="9" width="21.28515625" style="22" customWidth="1"/>
    <col min="10" max="10" width="23.7109375" style="22" customWidth="1"/>
    <col min="11" max="11" width="25" style="22" customWidth="1"/>
    <col min="12" max="28" width="10.5703125" style="22" customWidth="1"/>
    <col min="29" max="16384" width="11.28515625" style="22"/>
  </cols>
  <sheetData>
    <row r="1" spans="1:8" ht="35" customHeight="1" thickBot="1" x14ac:dyDescent="0.25"/>
    <row r="2" spans="1:8" ht="40" customHeight="1" thickTop="1" thickBot="1" x14ac:dyDescent="0.25">
      <c r="A2" s="28"/>
      <c r="B2" s="519" t="s">
        <v>69</v>
      </c>
      <c r="C2" s="519" t="s">
        <v>70</v>
      </c>
      <c r="D2" s="519" t="s">
        <v>92</v>
      </c>
      <c r="E2" s="519" t="s">
        <v>111</v>
      </c>
      <c r="F2" s="519" t="s">
        <v>127</v>
      </c>
      <c r="G2" s="112"/>
    </row>
    <row r="3" spans="1:8" ht="35" customHeight="1" thickTop="1" thickBot="1" x14ac:dyDescent="0.25">
      <c r="A3" s="62"/>
      <c r="B3" s="510"/>
      <c r="C3" s="511"/>
      <c r="D3" s="511"/>
      <c r="E3" s="511"/>
      <c r="F3" s="512"/>
      <c r="G3" s="514"/>
    </row>
    <row r="4" spans="1:8" ht="35" customHeight="1" thickBot="1" x14ac:dyDescent="0.25">
      <c r="A4" s="62" t="s">
        <v>79</v>
      </c>
      <c r="B4" s="510">
        <f>SUM('PERSONAL BUDGET 2025-2026'!U71)</f>
        <v>1000</v>
      </c>
      <c r="C4" s="510">
        <f>SUM('PERSONAL BUDGET 2026-2027'!O65)</f>
        <v>7200</v>
      </c>
      <c r="D4" s="510">
        <f>SUM('PERSONAL BUDGET 2027-2028'!O65)</f>
        <v>8500</v>
      </c>
      <c r="E4" s="510">
        <f>SUM('PERSONAL BUDGET 2028-2029'!O65)</f>
        <v>15900</v>
      </c>
      <c r="F4" s="513">
        <f>SUM('PERSONAL BUDGET 2029-2030'!O65)</f>
        <v>15900</v>
      </c>
      <c r="G4" s="515">
        <f>SUM(B4:F4)</f>
        <v>48500</v>
      </c>
    </row>
    <row r="5" spans="1:8" ht="35" customHeight="1" thickBot="1" x14ac:dyDescent="0.25">
      <c r="A5" s="62" t="s">
        <v>46</v>
      </c>
      <c r="B5" s="510">
        <f>SUM('PERSONAL BUDGET 2025-2026'!U69)</f>
        <v>4300</v>
      </c>
      <c r="C5" s="510">
        <f>SUM('PERSONAL BUDGET 2026-2027'!O63)</f>
        <v>11900</v>
      </c>
      <c r="D5" s="510">
        <f>SUM('PERSONAL BUDGET 2027-2028'!O63)</f>
        <v>11900</v>
      </c>
      <c r="E5" s="510">
        <f>SUM('PERSONAL BUDGET 2028-2029'!O63)</f>
        <v>3900</v>
      </c>
      <c r="F5" s="513">
        <f>SUM('PERSONAL BUDGET 2029-2030'!O63)</f>
        <v>2700</v>
      </c>
      <c r="G5" s="515">
        <f>SUM(B5:F5)</f>
        <v>34700</v>
      </c>
    </row>
    <row r="6" spans="1:8" ht="35" customHeight="1" thickBot="1" x14ac:dyDescent="0.25">
      <c r="A6" s="62" t="s">
        <v>156</v>
      </c>
      <c r="B6" s="510">
        <f>SUM('PERSONAL BUDGET 2025-2026'!U70)</f>
        <v>0</v>
      </c>
      <c r="C6" s="510">
        <f>SUM('PERSONAL BUDGET 2026-2027'!O64)</f>
        <v>1500</v>
      </c>
      <c r="D6" s="510">
        <f>SUM('PERSONAL BUDGET 2027-2028'!O64)</f>
        <v>1500</v>
      </c>
      <c r="E6" s="510">
        <f>SUM('PERSONAL BUDGET 2028-2029'!O64)</f>
        <v>2000</v>
      </c>
      <c r="F6" s="513">
        <f>SUM('PERSONAL BUDGET 2029-2030'!O64)</f>
        <v>1100</v>
      </c>
      <c r="G6" s="515">
        <f>SUM(B6:F6)</f>
        <v>6100</v>
      </c>
    </row>
    <row r="7" spans="1:8" ht="35" customHeight="1" thickBot="1" x14ac:dyDescent="0.25">
      <c r="A7" s="62" t="s">
        <v>73</v>
      </c>
      <c r="B7" s="510">
        <f>SUM('PERSONAL BUDGET 2025-2026'!U76)</f>
        <v>150</v>
      </c>
      <c r="C7" s="510">
        <f>SUM('PERSONAL BUDGET 2026-2027'!O70)</f>
        <v>600</v>
      </c>
      <c r="D7" s="510">
        <f>SUM('PERSONAL BUDGET 2027-2028'!O70)</f>
        <v>600</v>
      </c>
      <c r="E7" s="510">
        <f>SUM('PERSONAL BUDGET 2028-2029'!O70)</f>
        <v>600</v>
      </c>
      <c r="F7" s="513">
        <f>SUM('PERSONAL BUDGET 2029-2030'!O70)</f>
        <v>600</v>
      </c>
      <c r="G7" s="515">
        <f>SUM(B7:F7)</f>
        <v>2550</v>
      </c>
    </row>
    <row r="8" spans="1:8" ht="35" customHeight="1" thickBot="1" x14ac:dyDescent="0.25">
      <c r="A8" s="62"/>
      <c r="B8" s="510"/>
      <c r="C8" s="511"/>
      <c r="D8" s="511"/>
      <c r="E8" s="511"/>
      <c r="F8" s="512"/>
      <c r="G8" s="368"/>
    </row>
    <row r="9" spans="1:8" ht="64" customHeight="1" thickBot="1" x14ac:dyDescent="0.25">
      <c r="A9" s="505"/>
      <c r="B9" s="506"/>
      <c r="C9" s="506"/>
      <c r="D9" s="507"/>
      <c r="E9" s="508"/>
      <c r="F9" s="367"/>
      <c r="G9" s="147"/>
    </row>
    <row r="10" spans="1:8" ht="61" customHeight="1" thickBot="1" x14ac:dyDescent="0.25">
      <c r="A10" s="117" t="s">
        <v>48</v>
      </c>
      <c r="B10" s="119">
        <f>SUM(B4:B7)</f>
        <v>5450</v>
      </c>
      <c r="C10" s="119">
        <f t="shared" ref="C10:F10" si="0">SUM(C4:C7)</f>
        <v>21200</v>
      </c>
      <c r="D10" s="119">
        <f t="shared" si="0"/>
        <v>22500</v>
      </c>
      <c r="E10" s="119">
        <f t="shared" si="0"/>
        <v>22400</v>
      </c>
      <c r="F10" s="119">
        <f t="shared" si="0"/>
        <v>20300</v>
      </c>
      <c r="G10" s="113">
        <f>SUM(B10:F10)</f>
        <v>91850</v>
      </c>
      <c r="H10" s="27"/>
    </row>
    <row r="11" spans="1:8" ht="61" customHeight="1" thickBot="1" x14ac:dyDescent="0.25">
      <c r="A11" s="117" t="s">
        <v>96</v>
      </c>
      <c r="B11" s="118">
        <v>0</v>
      </c>
      <c r="C11" s="118">
        <v>0</v>
      </c>
      <c r="D11" s="118">
        <v>0</v>
      </c>
      <c r="E11" s="118">
        <v>0</v>
      </c>
      <c r="F11" s="118">
        <v>0</v>
      </c>
      <c r="G11" s="113">
        <f>SUM(B11:E11)</f>
        <v>0</v>
      </c>
      <c r="H11" s="27"/>
    </row>
    <row r="12" spans="1:8" ht="65" customHeight="1" thickBot="1" x14ac:dyDescent="0.25">
      <c r="A12" s="115" t="s">
        <v>49</v>
      </c>
      <c r="B12" s="116">
        <f>SUM('PERSONAL BUDGET 2025-2026'!U90)</f>
        <v>1810</v>
      </c>
      <c r="C12" s="116">
        <f>SUM('PERSONAL BUDGET 2026-2027'!O80)</f>
        <v>4855</v>
      </c>
      <c r="D12" s="509">
        <f>SUM('PERSONAL BUDGET 2027-2028'!O80)</f>
        <v>6925</v>
      </c>
      <c r="E12" s="509">
        <f>SUM('PERSONAL BUDGET 2028-2029'!O80)</f>
        <v>7125</v>
      </c>
      <c r="F12" s="368">
        <f>SUM('PERSONAL BUDGET 2029-2030'!O80)</f>
        <v>10989</v>
      </c>
      <c r="G12" s="518">
        <f>SUM(B12:F12)</f>
        <v>31704</v>
      </c>
    </row>
    <row r="13" spans="1:8" ht="77" customHeight="1" thickBot="1" x14ac:dyDescent="0.25">
      <c r="A13" s="848"/>
      <c r="B13" s="848"/>
      <c r="C13" s="848"/>
      <c r="D13" s="848"/>
      <c r="E13" s="848"/>
      <c r="F13" s="114" t="s">
        <v>90</v>
      </c>
      <c r="G13" s="114" cm="1">
        <f t="array" ref="G13">SUM(G10:G12-C21-C22-C23-C24)</f>
        <v>123554</v>
      </c>
      <c r="H13" s="517"/>
    </row>
    <row r="14" spans="1:8" ht="35" customHeight="1" x14ac:dyDescent="0.2">
      <c r="E14" s="22"/>
      <c r="F14" s="25"/>
      <c r="G14" s="25"/>
      <c r="H14" s="25"/>
    </row>
    <row r="15" spans="1:8" ht="35" customHeight="1" x14ac:dyDescent="0.2">
      <c r="E15" s="22"/>
      <c r="F15" s="25"/>
      <c r="G15" s="25"/>
      <c r="H15" s="25"/>
    </row>
    <row r="16" spans="1:8" ht="35" customHeight="1" x14ac:dyDescent="0.2">
      <c r="E16" s="22"/>
      <c r="F16" s="23"/>
      <c r="G16" s="23"/>
      <c r="H16" s="23"/>
    </row>
    <row r="17" spans="1:8" ht="35" customHeight="1" thickBot="1" x14ac:dyDescent="0.25">
      <c r="F17" s="26"/>
      <c r="G17" s="26"/>
      <c r="H17" s="27"/>
    </row>
    <row r="18" spans="1:8" ht="35" customHeight="1" x14ac:dyDescent="0.2">
      <c r="A18" s="135" t="s">
        <v>91</v>
      </c>
      <c r="B18" s="136"/>
      <c r="C18" s="136"/>
      <c r="D18" s="137"/>
      <c r="F18" s="26"/>
      <c r="G18" s="26"/>
      <c r="H18" s="27"/>
    </row>
    <row r="19" spans="1:8" ht="35" customHeight="1" x14ac:dyDescent="0.2">
      <c r="A19" s="139"/>
      <c r="B19" s="143" t="s">
        <v>94</v>
      </c>
      <c r="C19" s="143" t="s">
        <v>93</v>
      </c>
      <c r="D19" s="142" t="s">
        <v>95</v>
      </c>
    </row>
    <row r="20" spans="1:8" ht="35" customHeight="1" x14ac:dyDescent="0.2">
      <c r="A20" s="139"/>
      <c r="B20" s="144"/>
      <c r="C20" s="144"/>
      <c r="D20" s="138"/>
    </row>
    <row r="21" spans="1:8" ht="35" customHeight="1" x14ac:dyDescent="0.2">
      <c r="A21" s="140"/>
      <c r="B21" s="145" t="s">
        <v>79</v>
      </c>
      <c r="C21" s="145">
        <v>0</v>
      </c>
      <c r="D21" s="148"/>
    </row>
    <row r="22" spans="1:8" ht="35" customHeight="1" x14ac:dyDescent="0.2">
      <c r="A22" s="140"/>
      <c r="B22" s="145" t="s">
        <v>113</v>
      </c>
      <c r="C22" s="145">
        <v>0</v>
      </c>
      <c r="D22" s="148"/>
    </row>
    <row r="23" spans="1:8" ht="35" customHeight="1" x14ac:dyDescent="0.2">
      <c r="A23" s="140"/>
      <c r="B23" s="145" t="s">
        <v>47</v>
      </c>
      <c r="C23" s="145">
        <v>0</v>
      </c>
      <c r="D23" s="148"/>
    </row>
    <row r="24" spans="1:8" ht="35" customHeight="1" x14ac:dyDescent="0.2">
      <c r="A24" s="140"/>
      <c r="B24" s="145" t="s">
        <v>98</v>
      </c>
      <c r="C24" s="145">
        <v>0</v>
      </c>
      <c r="D24" s="148"/>
    </row>
    <row r="25" spans="1:8" ht="35" customHeight="1" thickBot="1" x14ac:dyDescent="0.25">
      <c r="A25" s="141"/>
      <c r="B25" s="146"/>
      <c r="C25" s="146"/>
      <c r="D25" s="149"/>
    </row>
  </sheetData>
  <mergeCells count="1">
    <mergeCell ref="A13:E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PERSONAL BUDGET 2022-2023</vt:lpstr>
      <vt:lpstr>PERSONAL BUDGET 2023-2024</vt:lpstr>
      <vt:lpstr>PERSONAL BUDGET 2024-2025</vt:lpstr>
      <vt:lpstr>PERSONAL BUDGET 2025-2026</vt:lpstr>
      <vt:lpstr>PERSONAL BUDGET 2026-2027</vt:lpstr>
      <vt:lpstr>PERSONAL BUDGET 2027-2028</vt:lpstr>
      <vt:lpstr>PERSONAL BUDGET 2028-2029</vt:lpstr>
      <vt:lpstr>PERSONAL BUDGET 2029-2030</vt:lpstr>
      <vt:lpstr>YEARLY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Vallis weekes</cp:lastModifiedBy>
  <dcterms:created xsi:type="dcterms:W3CDTF">2022-07-20T06:27:13Z</dcterms:created>
  <dcterms:modified xsi:type="dcterms:W3CDTF">2026-02-10T00:06:12Z</dcterms:modified>
</cp:coreProperties>
</file>